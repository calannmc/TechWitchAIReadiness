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Questionnaire" sheetId="3" state="visible" r:id="rId5"/>
    <sheet name="Readiness" sheetId="4" state="visible" r:id="rId6"/>
    <sheet name="Intents" sheetId="5" state="visible" r:id="rId7"/>
    <sheet name="Profile" sheetId="6" state="visible" r:id="rId8"/>
    <sheet name="Matrix" sheetId="7" state="visible" r:id="rId9"/>
    <sheet name="Resul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5" authorId="0">
      <text>
        <r>
          <rPr>
            <sz val="10"/>
            <rFont val="Arial"/>
            <family val="2"/>
          </rPr>
          <t xml:space="preserve">Automatable share of contacts = sum of share x automatability x risk factor.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4" authorId="0">
      <text>
        <r>
          <rPr>
            <sz val="10"/>
            <rFont val="Arial"/>
            <family val="2"/>
          </rPr>
          <t xml:space="preserve">Fit = sum(weight x score) / (3 x sum(weight)). Over-spec = sum of scores in columns the profile weights 0.</t>
        </r>
      </text>
    </comment>
  </commentList>
</comments>
</file>

<file path=xl/sharedStrings.xml><?xml version="1.0" encoding="utf-8"?>
<sst xmlns="http://schemas.openxmlformats.org/spreadsheetml/2006/main" count="585" uniqueCount="415">
  <si>
    <t xml:space="preserve">CX AI Fit Assessment, v0 model</t>
  </si>
  <si>
    <t xml:space="preserve">What this is: the v0 of the fit assessment from the structure doc. A consultant runs it by hand on a live deal.</t>
  </si>
  <si>
    <t xml:space="preserve">Legend: blue text on yellow = input. Black = formula. Green = pulled from another sheet. Change inputs only.</t>
  </si>
  <si>
    <t xml:space="preserve">The client in here is an illustrative example (Example Energy Co). Overwrite every input for a real client.</t>
  </si>
  <si>
    <t xml:space="preserve">Order of work: Questionnaire, then Intents (top 20 with share, type, consequence), then Readiness (score 1 to 5), then check Results.</t>
  </si>
  <si>
    <t xml:space="preserve">Matrix: real platform rows are blank. The team scores them 0 to 3 per column and sets a year-one cost band. The three example rows are illustrative placeholders only, not real platforms. Delete them once real rows are scored.</t>
  </si>
  <si>
    <t xml:space="preserve">Settings holds every factor and threshold. All are illustrative until calibrated on the first five clients.</t>
  </si>
  <si>
    <t xml:space="preserve">Scoring: opportunity per intent = share x automatability x risk factor. Automatable share = sum of opportunity. Phase 1 = top five by opportunity with the readiness it depends on at 3 or more (informational needs Knowledge, transactional needs Integration, everything needs People).</t>
  </si>
  <si>
    <t xml:space="preserve">Fit score = sum(weight x score) / (3 x sum(weight)). Over-spec index = scores in columns the profile weights 0: what they would pay for and not use. Budget filter runs before ranking.</t>
  </si>
  <si>
    <t xml:space="preserve">Sheets with a space in the name are quoted in formulas. Do not rename sheets.</t>
  </si>
  <si>
    <t xml:space="preserve">Settings</t>
  </si>
  <si>
    <t xml:space="preserve">Factors, thresholds and dropdown lists. Blue cells can be changed. Every threshold is illustrative until calibrated on real clients.</t>
  </si>
  <si>
    <t xml:space="preserve">Intent type</t>
  </si>
  <si>
    <t xml:space="preserve">Automatability factor</t>
  </si>
  <si>
    <t xml:space="preserve">Yes/No</t>
  </si>
  <si>
    <t xml:space="preserve">Owner</t>
  </si>
  <si>
    <t xml:space="preserve">Builder skills</t>
  </si>
  <si>
    <t xml:space="preserve">Residency</t>
  </si>
  <si>
    <t xml:space="preserve">Self-service today</t>
  </si>
  <si>
    <t xml:space="preserve">AI policy</t>
  </si>
  <si>
    <t xml:space="preserve">Goal</t>
  </si>
  <si>
    <t xml:space="preserve">Customer type</t>
  </si>
  <si>
    <t xml:space="preserve">Informational, content exists</t>
  </si>
  <si>
    <t xml:space="preserve">Yes</t>
  </si>
  <si>
    <t xml:space="preserve">Nobody yet</t>
  </si>
  <si>
    <t xml:space="preserve">None</t>
  </si>
  <si>
    <t xml:space="preserve">Any cloud</t>
  </si>
  <si>
    <t xml:space="preserve">Approved</t>
  </si>
  <si>
    <t xml:space="preserve">Cost per contact</t>
  </si>
  <si>
    <t xml:space="preserve">Consumers</t>
  </si>
  <si>
    <t xml:space="preserve">Informational, content needs writing</t>
  </si>
  <si>
    <t xml:space="preserve">No</t>
  </si>
  <si>
    <t xml:space="preserve">CX team</t>
  </si>
  <si>
    <t xml:space="preserve">Some</t>
  </si>
  <si>
    <t xml:space="preserve">EU</t>
  </si>
  <si>
    <t xml:space="preserve">Help centre</t>
  </si>
  <si>
    <t xml:space="preserve">Drafting</t>
  </si>
  <si>
    <t xml:space="preserve">CSAT</t>
  </si>
  <si>
    <t xml:space="preserve">Businesses</t>
  </si>
  <si>
    <t xml:space="preserve">Transactional, API exists</t>
  </si>
  <si>
    <t xml:space="preserve">IT</t>
  </si>
  <si>
    <t xml:space="preserve">UK only</t>
  </si>
  <si>
    <t xml:space="preserve">IVR</t>
  </si>
  <si>
    <t xml:space="preserve">24/7 cover</t>
  </si>
  <si>
    <t xml:space="preserve">Citizens</t>
  </si>
  <si>
    <t xml:space="preserve">Transactional, no API</t>
  </si>
  <si>
    <t xml:space="preserve">Vendor</t>
  </si>
  <si>
    <t xml:space="preserve">Bot</t>
  </si>
  <si>
    <t xml:space="preserve">Agent load</t>
  </si>
  <si>
    <t xml:space="preserve">Employees</t>
  </si>
  <si>
    <t xml:space="preserve">Complex</t>
  </si>
  <si>
    <t xml:space="preserve">Partner</t>
  </si>
  <si>
    <t xml:space="preserve">Several</t>
  </si>
  <si>
    <t xml:space="preserve">Consistency</t>
  </si>
  <si>
    <t xml:space="preserve">Regulated</t>
  </si>
  <si>
    <t xml:space="preserve">Consequence of a wrong answer</t>
  </si>
  <si>
    <t xml:space="preserve">Risk factor</t>
  </si>
  <si>
    <t xml:space="preserve">Low</t>
  </si>
  <si>
    <t xml:space="preserve">Medium</t>
  </si>
  <si>
    <t xml:space="preserve">High</t>
  </si>
  <si>
    <t xml:space="preserve">Threshold (illustrative)</t>
  </si>
  <si>
    <t xml:space="preserve">Value</t>
  </si>
  <si>
    <t xml:space="preserve">No platform below this automatable share</t>
  </si>
  <si>
    <t xml:space="preserve">Full platform above this automatable share</t>
  </si>
  <si>
    <t xml:space="preserve">Voice heavy above this voice share of volume</t>
  </si>
  <si>
    <t xml:space="preserve">Transactional heavy above this transactional share of volume</t>
  </si>
  <si>
    <t xml:space="preserve">Voice weight 3 above this voice share</t>
  </si>
  <si>
    <t xml:space="preserve">Voice weight 1 above this voice share</t>
  </si>
  <si>
    <t xml:space="preserve">Integration weight 3 above this transactional share</t>
  </si>
  <si>
    <t xml:space="preserve">Knowledge weight 3 above this informational share</t>
  </si>
  <si>
    <t xml:space="preserve">Languages weight 2 when more than this many</t>
  </si>
  <si>
    <t xml:space="preserve">Top-quartile count of 20 intents</t>
  </si>
  <si>
    <t xml:space="preserve">Readiness minimum for Phase 1</t>
  </si>
  <si>
    <t xml:space="preserve">Budget band (year one, licences and build)</t>
  </si>
  <si>
    <t xml:space="preserve">Index</t>
  </si>
  <si>
    <t xml:space="preserve">Under £50k</t>
  </si>
  <si>
    <t xml:space="preserve">£50k to £150k</t>
  </si>
  <si>
    <t xml:space="preserve">£150k to £400k</t>
  </si>
  <si>
    <t xml:space="preserve">Over £400k</t>
  </si>
  <si>
    <t xml:space="preserve">Questionnaire</t>
  </si>
  <si>
    <t xml:space="preserve">Blue cells on yellow are inputs. The values in them are an illustrative example client: overwrite them. Intents B1 to B4 live on the Intents sheet.</t>
  </si>
  <si>
    <t xml:space="preserve">Client</t>
  </si>
  <si>
    <t xml:space="preserve">Example Energy Co (illustrative)</t>
  </si>
  <si>
    <t xml:space="preserve">Assessment date</t>
  </si>
  <si>
    <t xml:space="preserve">2026-10-05</t>
  </si>
  <si>
    <t xml:space="preserve">#</t>
  </si>
  <si>
    <t xml:space="preserve">Question</t>
  </si>
  <si>
    <t xml:space="preserve">Answer</t>
  </si>
  <si>
    <t xml:space="preserve">Format</t>
  </si>
  <si>
    <t xml:space="preserve">Feeds</t>
  </si>
  <si>
    <t xml:space="preserve">A. Contact profile</t>
  </si>
  <si>
    <t xml:space="preserve">A1a</t>
  </si>
  <si>
    <t xml:space="preserve">Voice contacts per month</t>
  </si>
  <si>
    <t xml:space="preserve">Number</t>
  </si>
  <si>
    <t xml:space="preserve">Profile: volume, voice share</t>
  </si>
  <si>
    <t xml:space="preserve">A1b</t>
  </si>
  <si>
    <t xml:space="preserve">Chat contacts per month</t>
  </si>
  <si>
    <t xml:space="preserve">Profile: volume, messaging share</t>
  </si>
  <si>
    <t xml:space="preserve">A1c</t>
  </si>
  <si>
    <t xml:space="preserve">Email contacts per month</t>
  </si>
  <si>
    <t xml:space="preserve">Profile: volume</t>
  </si>
  <si>
    <t xml:space="preserve">A1d</t>
  </si>
  <si>
    <t xml:space="preserve">Social contacts per month</t>
  </si>
  <si>
    <t xml:space="preserve">A1e</t>
  </si>
  <si>
    <t xml:space="preserve">In-app contacts per month</t>
  </si>
  <si>
    <t xml:space="preserve">A1f</t>
  </si>
  <si>
    <t xml:space="preserve">Other contacts per month</t>
  </si>
  <si>
    <t xml:space="preserve">A2</t>
  </si>
  <si>
    <t xml:space="preserve">Share of contacts arriving out of hours</t>
  </si>
  <si>
    <t xml:space="preserve">Percent</t>
  </si>
  <si>
    <t xml:space="preserve">Profile: 24/7 case</t>
  </si>
  <si>
    <t xml:space="preserve">A3</t>
  </si>
  <si>
    <t xml:space="preserve">Peak month divided by quietest month</t>
  </si>
  <si>
    <t xml:space="preserve">Profile: elasticity</t>
  </si>
  <si>
    <t xml:space="preserve">A4</t>
  </si>
  <si>
    <t xml:space="preserve">Number of languages customers contact you in</t>
  </si>
  <si>
    <t xml:space="preserve">Profile: languages</t>
  </si>
  <si>
    <t xml:space="preserve">A4b</t>
  </si>
  <si>
    <t xml:space="preserve">Which languages, with rough share</t>
  </si>
  <si>
    <t xml:space="preserve">English 94%, Welsh 6%</t>
  </si>
  <si>
    <t xml:space="preserve">Text</t>
  </si>
  <si>
    <t xml:space="preserve">Report</t>
  </si>
  <si>
    <t xml:space="preserve">A5</t>
  </si>
  <si>
    <t xml:space="preserve">Who the customers are</t>
  </si>
  <si>
    <t xml:space="preserve">Pick: Customer type</t>
  </si>
  <si>
    <t xml:space="preserve">Profile: tone, auth model</t>
  </si>
  <si>
    <t xml:space="preserve">A6</t>
  </si>
  <si>
    <t xml:space="preserve">Must customers be identified before you can help?</t>
  </si>
  <si>
    <t xml:space="preserve">Pick: Yes/No</t>
  </si>
  <si>
    <t xml:space="preserve">Profile: auth needed</t>
  </si>
  <si>
    <t xml:space="preserve">A6b</t>
  </si>
  <si>
    <t xml:space="preserve">How are they identified today?</t>
  </si>
  <si>
    <t xml:space="preserve">Account number plus postcode</t>
  </si>
  <si>
    <t xml:space="preserve">B. Intents (B1 to B4 are on the Intents sheet)</t>
  </si>
  <si>
    <t xml:space="preserve">B5a</t>
  </si>
  <si>
    <t xml:space="preserve">Repeat contact rate</t>
  </si>
  <si>
    <t xml:space="preserve">Opportunity: value. Readiness: data</t>
  </si>
  <si>
    <t xml:space="preserve">B5b</t>
  </si>
  <si>
    <t xml:space="preserve">First contact resolution</t>
  </si>
  <si>
    <t xml:space="preserve">B6a</t>
  </si>
  <si>
    <t xml:space="preserve">Pick: Self-service today</t>
  </si>
  <si>
    <t xml:space="preserve">Profile: baseline</t>
  </si>
  <si>
    <t xml:space="preserve">B6b</t>
  </si>
  <si>
    <t xml:space="preserve">Containment rate today, if known</t>
  </si>
  <si>
    <t xml:space="preserve">B7</t>
  </si>
  <si>
    <t xml:space="preserve">Blended cost per contact (£)</t>
  </si>
  <si>
    <t xml:space="preserve">Opportunity: value</t>
  </si>
  <si>
    <t xml:space="preserve">C. Systems</t>
  </si>
  <si>
    <t xml:space="preserve">C1</t>
  </si>
  <si>
    <t xml:space="preserve">Ticketing or CRM platform and version</t>
  </si>
  <si>
    <t xml:space="preserve">Zendesk Suite</t>
  </si>
  <si>
    <t xml:space="preserve">Profile: handoff target</t>
  </si>
  <si>
    <t xml:space="preserve">C2</t>
  </si>
  <si>
    <t xml:space="preserve">Telephony or contact centre platform</t>
  </si>
  <si>
    <t xml:space="preserve">NICE CXone</t>
  </si>
  <si>
    <t xml:space="preserve">Profile: voice handoff</t>
  </si>
  <si>
    <t xml:space="preserve">C3</t>
  </si>
  <si>
    <t xml:space="preserve">Back-office systems behind the top transactional intents, API available, owner</t>
  </si>
  <si>
    <t xml:space="preserve">Billing (API yes, IT), Scheduling (no API, Ops)</t>
  </si>
  <si>
    <t xml:space="preserve">Readiness: integration</t>
  </si>
  <si>
    <t xml:space="preserve">C4</t>
  </si>
  <si>
    <t xml:space="preserve">Could a bot reuse the current verification method?</t>
  </si>
  <si>
    <t xml:space="preserve">Readiness: integration. Profile: auth</t>
  </si>
  <si>
    <t xml:space="preserve">C5</t>
  </si>
  <si>
    <t xml:space="preserve">Hosting or data residency constraint</t>
  </si>
  <si>
    <t xml:space="preserve">Pick: Residency</t>
  </si>
  <si>
    <t xml:space="preserve">Profile: constraints</t>
  </si>
  <si>
    <t xml:space="preserve">D. Knowledge</t>
  </si>
  <si>
    <t xml:space="preserve">D1a</t>
  </si>
  <si>
    <t xml:space="preserve">Public help centre?</t>
  </si>
  <si>
    <t xml:space="preserve">Readiness: knowledge</t>
  </si>
  <si>
    <t xml:space="preserve">D1b</t>
  </si>
  <si>
    <t xml:space="preserve">Help centre platform and article count</t>
  </si>
  <si>
    <t xml:space="preserve">Zendesk Guide, 140 articles</t>
  </si>
  <si>
    <t xml:space="preserve">D2a</t>
  </si>
  <si>
    <t xml:space="preserve">Last reviewed end to end</t>
  </si>
  <si>
    <t xml:space="preserve">2025-03</t>
  </si>
  <si>
    <t xml:space="preserve">D2b</t>
  </si>
  <si>
    <t xml:space="preserve">Who owns it (role)</t>
  </si>
  <si>
    <t xml:space="preserve">Digital content lead, part time</t>
  </si>
  <si>
    <t xml:space="preserve">D3</t>
  </si>
  <si>
    <t xml:space="preserve">Do agents use it, or their own notes and macros?</t>
  </si>
  <si>
    <t xml:space="preserve">Own notes</t>
  </si>
  <si>
    <t xml:space="preserve">D4</t>
  </si>
  <si>
    <t xml:space="preserve">Internal knowledge base agents trust?</t>
  </si>
  <si>
    <t xml:space="preserve">D5</t>
  </si>
  <si>
    <t xml:space="preserve">Tone of voice or brand guidelines for written contact?</t>
  </si>
  <si>
    <t xml:space="preserve">Profile: content effort</t>
  </si>
  <si>
    <t xml:space="preserve">E. People</t>
  </si>
  <si>
    <t xml:space="preserve">E1</t>
  </si>
  <si>
    <t xml:space="preserve">Who would own the bot day to day after go-live?</t>
  </si>
  <si>
    <t xml:space="preserve">Pick: Owner</t>
  </si>
  <si>
    <t xml:space="preserve">Readiness: people (gate)</t>
  </si>
  <si>
    <t xml:space="preserve">E2</t>
  </si>
  <si>
    <t xml:space="preserve">Anyone in-house who builds flows, writes prompts or manages NLU?</t>
  </si>
  <si>
    <t xml:space="preserve">Pick: Builder skills</t>
  </si>
  <si>
    <t xml:space="preserve">Readiness: people. Profile: build model</t>
  </si>
  <si>
    <t xml:space="preserve">E3a</t>
  </si>
  <si>
    <t xml:space="preserve">Agent headcount</t>
  </si>
  <si>
    <t xml:space="preserve">E3b</t>
  </si>
  <si>
    <t xml:space="preserve">Agent attrition, annual</t>
  </si>
  <si>
    <t xml:space="preserve">E4</t>
  </si>
  <si>
    <t xml:space="preserve">Tried automation before? What happened, and why?</t>
  </si>
  <si>
    <t xml:space="preserve">IVR menu in 2023, abandoned, nobody owned it</t>
  </si>
  <si>
    <t xml:space="preserve">Readiness: people. Report: risks</t>
  </si>
  <si>
    <t xml:space="preserve">E5</t>
  </si>
  <si>
    <t xml:space="preserve">Who signs off the business case, and who signs off what the bot may say?</t>
  </si>
  <si>
    <t xml:space="preserve">COO / Head of Customer Service</t>
  </si>
  <si>
    <t xml:space="preserve">Readiness: governance</t>
  </si>
  <si>
    <t xml:space="preserve">F. Constraints</t>
  </si>
  <si>
    <t xml:space="preserve">F1a</t>
  </si>
  <si>
    <t xml:space="preserve">PCI in scope (card payments)</t>
  </si>
  <si>
    <t xml:space="preserve">F1b</t>
  </si>
  <si>
    <t xml:space="preserve">GDPR special category data (vulnerability, health)</t>
  </si>
  <si>
    <t xml:space="preserve">F1c</t>
  </si>
  <si>
    <t xml:space="preserve">FCA regulated</t>
  </si>
  <si>
    <t xml:space="preserve">F1d</t>
  </si>
  <si>
    <t xml:space="preserve">Public sector</t>
  </si>
  <si>
    <t xml:space="preserve">F1e</t>
  </si>
  <si>
    <t xml:space="preserve">Health</t>
  </si>
  <si>
    <t xml:space="preserve">F2</t>
  </si>
  <si>
    <t xml:space="preserve">Accessibility requirement</t>
  </si>
  <si>
    <t xml:space="preserve">WCAG 2.2 AA</t>
  </si>
  <si>
    <t xml:space="preserve">F3</t>
  </si>
  <si>
    <t xml:space="preserve">Vendor contracts and renewal dates (ticketing, telephony, any bot)</t>
  </si>
  <si>
    <t xml:space="preserve">Zendesk renews Apr 2027, CXone Sep 2027</t>
  </si>
  <si>
    <t xml:space="preserve">Profile: procurement timing</t>
  </si>
  <si>
    <t xml:space="preserve">F4</t>
  </si>
  <si>
    <t xml:space="preserve">Procurement route</t>
  </si>
  <si>
    <t xml:space="preserve">Direct, under tender threshold</t>
  </si>
  <si>
    <t xml:space="preserve">Profile: procurement</t>
  </si>
  <si>
    <t xml:space="preserve">F5</t>
  </si>
  <si>
    <t xml:space="preserve">Policy on AI use with customers</t>
  </si>
  <si>
    <t xml:space="preserve">Pick: AI policy</t>
  </si>
  <si>
    <t xml:space="preserve">G. Goals and budget</t>
  </si>
  <si>
    <t xml:space="preserve">G1</t>
  </si>
  <si>
    <t xml:space="preserve">Main goal, one only</t>
  </si>
  <si>
    <t xml:space="preserve">Pick: Goal</t>
  </si>
  <si>
    <t xml:space="preserve">Profile: goal</t>
  </si>
  <si>
    <t xml:space="preserve">G2</t>
  </si>
  <si>
    <t xml:space="preserve">Target, if they have one (illustrative until measured)</t>
  </si>
  <si>
    <t xml:space="preserve">30% containment on chat in year one</t>
  </si>
  <si>
    <t xml:space="preserve">G3</t>
  </si>
  <si>
    <t xml:space="preserve">Budget band for year one, licences and build together</t>
  </si>
  <si>
    <t xml:space="preserve">Pick: Budget band</t>
  </si>
  <si>
    <t xml:space="preserve">Fit: price filter</t>
  </si>
  <si>
    <t xml:space="preserve">G4</t>
  </si>
  <si>
    <t xml:space="preserve">Live-by date, and why that date</t>
  </si>
  <si>
    <t xml:space="preserve">2027-03, before Zendesk renewal</t>
  </si>
  <si>
    <t xml:space="preserve">G5</t>
  </si>
  <si>
    <t xml:space="preserve">What would make this a failure in 12 months?</t>
  </si>
  <si>
    <t xml:space="preserve">Containment under 15%, or complaints up</t>
  </si>
  <si>
    <t xml:space="preserve">Report: risks</t>
  </si>
  <si>
    <t xml:space="preserve">Readiness</t>
  </si>
  <si>
    <t xml:space="preserve">Score each dimension 1 to 5 against the descriptions. People is a gate: a 1 means no platform yet, whatever the opportunity says.</t>
  </si>
  <si>
    <t xml:space="preserve">Dimension</t>
  </si>
  <si>
    <t xml:space="preserve">Score (1 to 5)</t>
  </si>
  <si>
    <t xml:space="preserve">What a 1 looks like</t>
  </si>
  <si>
    <t xml:space="preserve">What a 3 looks like</t>
  </si>
  <si>
    <t xml:space="preserve">What a 5 looks like</t>
  </si>
  <si>
    <t xml:space="preserve">Data</t>
  </si>
  <si>
    <t xml:space="preserve">No reason codes, no exports</t>
  </si>
  <si>
    <t xml:space="preserve">Reason codes exist but messy</t>
  </si>
  <si>
    <t xml:space="preserve">Clean taxonomy, exports on tap</t>
  </si>
  <si>
    <t xml:space="preserve">Knowledge</t>
  </si>
  <si>
    <t xml:space="preserve">No help centre, or badly out of date</t>
  </si>
  <si>
    <t xml:space="preserve">Exists, partly maintained</t>
  </si>
  <si>
    <t xml:space="preserve">Current, owned, agents use it</t>
  </si>
  <si>
    <t xml:space="preserve">Integration</t>
  </si>
  <si>
    <t xml:space="preserve">No APIs, systems locked down</t>
  </si>
  <si>
    <t xml:space="preserve">Some APIs, IT will help</t>
  </si>
  <si>
    <t xml:space="preserve">API-first, auth solved</t>
  </si>
  <si>
    <t xml:space="preserve">People</t>
  </si>
  <si>
    <t xml:space="preserve">Nobody to own it</t>
  </si>
  <si>
    <t xml:space="preserve">Owner named, no skills yet</t>
  </si>
  <si>
    <t xml:space="preserve">Owner plus someone who can build and maintain</t>
  </si>
  <si>
    <t xml:space="preserve">Governance</t>
  </si>
  <si>
    <t xml:space="preserve">No policy, blockers unknown</t>
  </si>
  <si>
    <t xml:space="preserve">Constraints known, no sign-off process</t>
  </si>
  <si>
    <t xml:space="preserve">AI policy, sign-off and review in place</t>
  </si>
  <si>
    <t xml:space="preserve">People gate</t>
  </si>
  <si>
    <t xml:space="preserve">Average readiness</t>
  </si>
  <si>
    <t xml:space="preserve">Intents (B1 to B4)</t>
  </si>
  <si>
    <t xml:space="preserve">Top 20 contact reasons. Blue cells are inputs; the example rows are illustrative. Shares are of all contacts and need not reach 100%.</t>
  </si>
  <si>
    <t xml:space="preserve">Intent</t>
  </si>
  <si>
    <t xml:space="preserve">Share of volume</t>
  </si>
  <si>
    <t xml:space="preserve">Type</t>
  </si>
  <si>
    <t xml:space="preserve">Wrong-answer consequence</t>
  </si>
  <si>
    <t xml:space="preserve">System or API note</t>
  </si>
  <si>
    <t xml:space="preserve">Automatability</t>
  </si>
  <si>
    <t xml:space="preserve">Opportunity</t>
  </si>
  <si>
    <t xml:space="preserve">Annual value (£, illustrative)</t>
  </si>
  <si>
    <t xml:space="preserve">Depends on</t>
  </si>
  <si>
    <t xml:space="preserve">Dependency score</t>
  </si>
  <si>
    <t xml:space="preserve">Status</t>
  </si>
  <si>
    <t xml:space="preserve">Informational share</t>
  </si>
  <si>
    <t xml:space="preserve">Transactional share</t>
  </si>
  <si>
    <t xml:space="preserve">Phase 1 #</t>
  </si>
  <si>
    <t xml:space="preserve">Fix first #</t>
  </si>
  <si>
    <t xml:space="preserve">Submit a meter reading</t>
  </si>
  <si>
    <t xml:space="preserve">Billing API</t>
  </si>
  <si>
    <t xml:space="preserve">Make a payment</t>
  </si>
  <si>
    <t xml:space="preserve">Payment gateway, PCI</t>
  </si>
  <si>
    <t xml:space="preserve">Bill explanation (why is it higher)</t>
  </si>
  <si>
    <t xml:space="preserve">Moving home</t>
  </si>
  <si>
    <t xml:space="preserve">Manual in billing</t>
  </si>
  <si>
    <t xml:space="preserve">Update contact details</t>
  </si>
  <si>
    <t xml:space="preserve">CRM API</t>
  </si>
  <si>
    <t xml:space="preserve">Payment plan or arrears</t>
  </si>
  <si>
    <t xml:space="preserve">Must be human</t>
  </si>
  <si>
    <t xml:space="preserve">Change direct debit date</t>
  </si>
  <si>
    <t xml:space="preserve">Book smart meter appointment</t>
  </si>
  <si>
    <t xml:space="preserve">Scheduling, no API</t>
  </si>
  <si>
    <t xml:space="preserve">Tariff information</t>
  </si>
  <si>
    <t xml:space="preserve">Power cut or supply issue</t>
  </si>
  <si>
    <t xml:space="preserve">Network operator</t>
  </si>
  <si>
    <t xml:space="preserve">Refund request</t>
  </si>
  <si>
    <t xml:space="preserve">Finance queue</t>
  </si>
  <si>
    <t xml:space="preserve">Complaint</t>
  </si>
  <si>
    <t xml:space="preserve">How to read my meter</t>
  </si>
  <si>
    <t xml:space="preserve">Account balance</t>
  </si>
  <si>
    <t xml:space="preserve">Switching provider or leaving</t>
  </si>
  <si>
    <t xml:space="preserve">Priority services register</t>
  </si>
  <si>
    <t xml:space="preserve">Vulnerability, human</t>
  </si>
  <si>
    <t xml:space="preserve">App or login problems</t>
  </si>
  <si>
    <t xml:space="preserve">Energy saving advice</t>
  </si>
  <si>
    <t xml:space="preserve">Warm home discount eligibility</t>
  </si>
  <si>
    <t xml:space="preserve">Change tariff</t>
  </si>
  <si>
    <t xml:space="preserve">Totals</t>
  </si>
  <si>
    <t xml:space="preserve">Requirements profile and column weights</t>
  </si>
  <si>
    <t xml:space="preserve">All computed. Change the rules on Settings, not here.</t>
  </si>
  <si>
    <t xml:space="preserve">Field</t>
  </si>
  <si>
    <t xml:space="preserve">Source</t>
  </si>
  <si>
    <t xml:space="preserve">Total monthly contacts</t>
  </si>
  <si>
    <t xml:space="preserve">A1</t>
  </si>
  <si>
    <t xml:space="preserve">Voice share of volume</t>
  </si>
  <si>
    <t xml:space="preserve">Messaging share (chat, social, in-app)</t>
  </si>
  <si>
    <t xml:space="preserve">Informational share of volume</t>
  </si>
  <si>
    <t xml:space="preserve">B2</t>
  </si>
  <si>
    <t xml:space="preserve">Transactional share of volume</t>
  </si>
  <si>
    <t xml:space="preserve">Automatable share of contacts</t>
  </si>
  <si>
    <t xml:space="preserve">Intents</t>
  </si>
  <si>
    <t xml:space="preserve">Languages</t>
  </si>
  <si>
    <t xml:space="preserve">Auth needed</t>
  </si>
  <si>
    <t xml:space="preserve">Builder skills in-house</t>
  </si>
  <si>
    <t xml:space="preserve">Bot owner</t>
  </si>
  <si>
    <t xml:space="preserve">People score</t>
  </si>
  <si>
    <t xml:space="preserve">Data score</t>
  </si>
  <si>
    <t xml:space="preserve">Regulated or residency flag</t>
  </si>
  <si>
    <t xml:space="preserve">F1, C5</t>
  </si>
  <si>
    <t xml:space="preserve">Budget band index</t>
  </si>
  <si>
    <t xml:space="preserve">Capability column</t>
  </si>
  <si>
    <t xml:space="preserve">Weight (0 to 3)</t>
  </si>
  <si>
    <t xml:space="preserve">Rule</t>
  </si>
  <si>
    <t xml:space="preserve">Voice</t>
  </si>
  <si>
    <t xml:space="preserve">3 if voice share over 40%, 1 if 10 to 40%, else 0</t>
  </si>
  <si>
    <t xml:space="preserve">Chat and messaging</t>
  </si>
  <si>
    <t xml:space="preserve">3 if messaging share is 10% or more, 1 if any, else 0</t>
  </si>
  <si>
    <t xml:space="preserve">2 if more than two languages</t>
  </si>
  <si>
    <t xml:space="preserve">Knowledge and RAG</t>
  </si>
  <si>
    <t xml:space="preserve">3 if informational share over 40%, 2 if over 20%, else 1</t>
  </si>
  <si>
    <t xml:space="preserve">Integration tooling</t>
  </si>
  <si>
    <t xml:space="preserve">3 if transactional share over 25%, 2 if over 10%, else 1</t>
  </si>
  <si>
    <t xml:space="preserve">Agentic actions</t>
  </si>
  <si>
    <t xml:space="preserve">2 if transactional share over 25%</t>
  </si>
  <si>
    <t xml:space="preserve">Auth handling</t>
  </si>
  <si>
    <t xml:space="preserve">3 if customers must be identified</t>
  </si>
  <si>
    <t xml:space="preserve">Agent handoff</t>
  </si>
  <si>
    <t xml:space="preserve">Always 3: there is always a handoff target</t>
  </si>
  <si>
    <t xml:space="preserve">Build model</t>
  </si>
  <si>
    <t xml:space="preserve">3 if nobody builds in-house, 1 if some skills, 0 if yes</t>
  </si>
  <si>
    <t xml:space="preserve">Analytics and intent discovery</t>
  </si>
  <si>
    <t xml:space="preserve">3 if Data readiness is 2 or under, else 2</t>
  </si>
  <si>
    <t xml:space="preserve">Pricing model</t>
  </si>
  <si>
    <t xml:space="preserve">Always 2</t>
  </si>
  <si>
    <t xml:space="preserve">Minimum team to run</t>
  </si>
  <si>
    <t xml:space="preserve">3 if People readiness is 2 or under, else 1</t>
  </si>
  <si>
    <t xml:space="preserve">Compliance and residency</t>
  </si>
  <si>
    <t xml:space="preserve">3 if any regulated flag or UK-only hosting</t>
  </si>
  <si>
    <t xml:space="preserve">Fit matrix</t>
  </si>
  <si>
    <t xml:space="preserve">Score each platform 0 to 3 per column (0 none, 1 basic, 2 solid, 3 best in class). Real platform rows are blank for the team to fill. Example rows are illustrative placeholders, not real platforms.</t>
  </si>
  <si>
    <t xml:space="preserve">Weight (from Profile)</t>
  </si>
  <si>
    <t xml:space="preserve">Platform</t>
  </si>
  <si>
    <t xml:space="preserve">Year-one cost band</t>
  </si>
  <si>
    <t xml:space="preserve">Columns scored</t>
  </si>
  <si>
    <t xml:space="preserve">Fit score</t>
  </si>
  <si>
    <t xml:space="preserve">Over-spec index</t>
  </si>
  <si>
    <t xml:space="preserve">Within budget?</t>
  </si>
  <si>
    <t xml:space="preserve">Rank</t>
  </si>
  <si>
    <t xml:space="preserve">Rankable fit</t>
  </si>
  <si>
    <t xml:space="preserve">Help centre plus ticketing vendor's native bot</t>
  </si>
  <si>
    <t xml:space="preserve">Ultimate AI / Zendesk AI agents</t>
  </si>
  <si>
    <t xml:space="preserve">Cognigy (NiCE)</t>
  </si>
  <si>
    <t xml:space="preserve">Omilia</t>
  </si>
  <si>
    <t xml:space="preserve">PolyAI</t>
  </si>
  <si>
    <t xml:space="preserve">NICE CXone native bots</t>
  </si>
  <si>
    <t xml:space="preserve">Microsoft Copilot Studio / Azure</t>
  </si>
  <si>
    <t xml:space="preserve">Example platform A (illustrative)</t>
  </si>
  <si>
    <t xml:space="preserve">Example platform B (illustrative)</t>
  </si>
  <si>
    <t xml:space="preserve">Example platform C (illustrative)</t>
  </si>
  <si>
    <t xml:space="preserve">Results</t>
  </si>
  <si>
    <t xml:space="preserve">Date</t>
  </si>
  <si>
    <t xml:space="preserve">Headline</t>
  </si>
  <si>
    <t xml:space="preserve">Annual value of automatable contacts (£, illustrative)</t>
  </si>
  <si>
    <t xml:space="preserve">Average readiness (1 to 5)</t>
  </si>
  <si>
    <t xml:space="preserve">Recommended path</t>
  </si>
  <si>
    <t xml:space="preserve">Phase 1 candidates</t>
  </si>
  <si>
    <t xml:space="preserve">Fix first (high opportunity, a dimension under 3)</t>
  </si>
  <si>
    <t xml:space="preserve">Dimension score</t>
  </si>
  <si>
    <t xml:space="preserve">Readiness fixes (score under 3)</t>
  </si>
  <si>
    <t xml:space="preserve">Score</t>
  </si>
  <si>
    <t xml:space="preserve">Fit ranking (within budget, fully scored)</t>
  </si>
  <si>
    <t xml:space="preserve">Cost band</t>
  </si>
  <si>
    <t xml:space="preserve">Platforms not yet fully scored</t>
  </si>
  <si>
    <t xml:space="preserve">Platforms over budget (would have scored)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</si>
</sst>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%"/>
    <numFmt numFmtId="167" formatCode="0"/>
    <numFmt numFmtId="168" formatCode="#,##0"/>
    <numFmt numFmtId="169" formatCode="\£#,##0.00"/>
    <numFmt numFmtId="170" formatCode="0.0%"/>
    <numFmt numFmtId="171" formatCode="\£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F3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F1F38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F38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1F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2" t="s">
        <v>2</v>
      </c>
    </row>
    <row r="5" customFormat="false" ht="30" hidden="false" customHeight="true" outlineLevel="0" collapsed="false">
      <c r="A5" s="2" t="s">
        <v>3</v>
      </c>
    </row>
    <row r="6" customFormat="false" ht="30" hidden="false" customHeight="true" outlineLevel="0" collapsed="false">
      <c r="A6" s="2" t="s">
        <v>4</v>
      </c>
    </row>
    <row r="7" customFormat="false" ht="30" hidden="false" customHeight="true" outlineLevel="0" collapsed="false">
      <c r="A7" s="2" t="s">
        <v>5</v>
      </c>
    </row>
    <row r="8" customFormat="false" ht="30" hidden="false" customHeight="true" outlineLevel="0" collapsed="false">
      <c r="A8" s="2" t="s">
        <v>6</v>
      </c>
    </row>
    <row r="9" customFormat="false" ht="30" hidden="false" customHeight="true" outlineLevel="0" collapsed="false">
      <c r="A9" s="2" t="s">
        <v>7</v>
      </c>
    </row>
    <row r="10" customFormat="false" ht="30" hidden="false" customHeight="true" outlineLevel="0" collapsed="false">
      <c r="A10" s="2" t="s">
        <v>8</v>
      </c>
    </row>
    <row r="11" customFormat="false" ht="30" hidden="false" customHeight="true" outlineLevel="0" collapsed="false">
      <c r="A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3" t="s">
        <v>11</v>
      </c>
    </row>
    <row r="3" customFormat="false" ht="23.85" hidden="false" customHeight="false" outlineLevel="0" collapsed="false">
      <c r="A3" s="4" t="s">
        <v>12</v>
      </c>
      <c r="B3" s="4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</row>
    <row r="4" customFormat="false" ht="15" hidden="false" customHeight="false" outlineLevel="0" collapsed="false">
      <c r="A4" s="6" t="s">
        <v>22</v>
      </c>
      <c r="B4" s="7" t="n">
        <v>1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25</v>
      </c>
      <c r="I4" s="8" t="s">
        <v>27</v>
      </c>
      <c r="J4" s="8" t="s">
        <v>28</v>
      </c>
      <c r="K4" s="8" t="s">
        <v>29</v>
      </c>
    </row>
    <row r="5" customFormat="false" ht="15" hidden="false" customHeight="false" outlineLevel="0" collapsed="false">
      <c r="A5" s="6" t="s">
        <v>30</v>
      </c>
      <c r="B5" s="7" t="n">
        <v>0.8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8" t="s">
        <v>37</v>
      </c>
      <c r="K5" s="8" t="s">
        <v>38</v>
      </c>
    </row>
    <row r="6" customFormat="false" ht="15" hidden="false" customHeight="false" outlineLevel="0" collapsed="false">
      <c r="A6" s="6" t="s">
        <v>39</v>
      </c>
      <c r="B6" s="7" t="n">
        <v>0.9</v>
      </c>
      <c r="E6" s="8" t="s">
        <v>40</v>
      </c>
      <c r="F6" s="8" t="s">
        <v>23</v>
      </c>
      <c r="G6" s="8" t="s">
        <v>41</v>
      </c>
      <c r="H6" s="8" t="s">
        <v>42</v>
      </c>
      <c r="I6" s="8" t="s">
        <v>25</v>
      </c>
      <c r="J6" s="8" t="s">
        <v>43</v>
      </c>
      <c r="K6" s="8" t="s">
        <v>44</v>
      </c>
    </row>
    <row r="7" customFormat="false" ht="15" hidden="false" customHeight="false" outlineLevel="0" collapsed="false">
      <c r="A7" s="6" t="s">
        <v>45</v>
      </c>
      <c r="B7" s="7" t="n">
        <v>0.5</v>
      </c>
      <c r="E7" s="8" t="s">
        <v>46</v>
      </c>
      <c r="H7" s="8" t="s">
        <v>47</v>
      </c>
      <c r="J7" s="8" t="s">
        <v>48</v>
      </c>
      <c r="K7" s="8" t="s">
        <v>49</v>
      </c>
    </row>
    <row r="8" customFormat="false" ht="15" hidden="false" customHeight="false" outlineLevel="0" collapsed="false">
      <c r="A8" s="6" t="s">
        <v>50</v>
      </c>
      <c r="B8" s="7" t="n">
        <v>0.2</v>
      </c>
      <c r="E8" s="8" t="s">
        <v>51</v>
      </c>
      <c r="H8" s="8" t="s">
        <v>52</v>
      </c>
      <c r="J8" s="8" t="s">
        <v>53</v>
      </c>
    </row>
    <row r="9" customFormat="false" ht="15" hidden="false" customHeight="false" outlineLevel="0" collapsed="false">
      <c r="A9" s="6" t="s">
        <v>54</v>
      </c>
      <c r="B9" s="7" t="n">
        <v>0</v>
      </c>
    </row>
    <row r="11" customFormat="false" ht="15" hidden="false" customHeight="false" outlineLevel="0" collapsed="false">
      <c r="A11" s="4" t="s">
        <v>55</v>
      </c>
      <c r="B11" s="4" t="s">
        <v>56</v>
      </c>
    </row>
    <row r="12" customFormat="false" ht="15" hidden="false" customHeight="false" outlineLevel="0" collapsed="false">
      <c r="A12" s="6" t="s">
        <v>57</v>
      </c>
      <c r="B12" s="7" t="n">
        <v>1</v>
      </c>
    </row>
    <row r="13" customFormat="false" ht="15" hidden="false" customHeight="false" outlineLevel="0" collapsed="false">
      <c r="A13" s="6" t="s">
        <v>58</v>
      </c>
      <c r="B13" s="7" t="n">
        <v>0.8</v>
      </c>
    </row>
    <row r="14" customFormat="false" ht="15" hidden="false" customHeight="false" outlineLevel="0" collapsed="false">
      <c r="A14" s="6" t="s">
        <v>59</v>
      </c>
      <c r="B14" s="7" t="n">
        <v>0.5</v>
      </c>
    </row>
    <row r="16" customFormat="false" ht="15" hidden="false" customHeight="false" outlineLevel="0" collapsed="false">
      <c r="A16" s="4" t="s">
        <v>60</v>
      </c>
      <c r="B16" s="4" t="s">
        <v>61</v>
      </c>
    </row>
    <row r="17" customFormat="false" ht="15" hidden="false" customHeight="false" outlineLevel="0" collapsed="false">
      <c r="A17" s="6" t="s">
        <v>62</v>
      </c>
      <c r="B17" s="9" t="n">
        <v>0.15</v>
      </c>
    </row>
    <row r="18" customFormat="false" ht="15" hidden="false" customHeight="false" outlineLevel="0" collapsed="false">
      <c r="A18" s="6" t="s">
        <v>63</v>
      </c>
      <c r="B18" s="9" t="n">
        <v>0.35</v>
      </c>
    </row>
    <row r="19" customFormat="false" ht="15" hidden="false" customHeight="false" outlineLevel="0" collapsed="false">
      <c r="A19" s="6" t="s">
        <v>64</v>
      </c>
      <c r="B19" s="9" t="n">
        <v>0.4</v>
      </c>
    </row>
    <row r="20" customFormat="false" ht="15" hidden="false" customHeight="false" outlineLevel="0" collapsed="false">
      <c r="A20" s="6" t="s">
        <v>65</v>
      </c>
      <c r="B20" s="9" t="n">
        <v>0.25</v>
      </c>
    </row>
    <row r="21" customFormat="false" ht="15" hidden="false" customHeight="false" outlineLevel="0" collapsed="false">
      <c r="A21" s="6" t="s">
        <v>66</v>
      </c>
      <c r="B21" s="9" t="n">
        <v>0.4</v>
      </c>
    </row>
    <row r="22" customFormat="false" ht="15" hidden="false" customHeight="false" outlineLevel="0" collapsed="false">
      <c r="A22" s="6" t="s">
        <v>67</v>
      </c>
      <c r="B22" s="9" t="n">
        <v>0.1</v>
      </c>
    </row>
    <row r="23" customFormat="false" ht="15" hidden="false" customHeight="false" outlineLevel="0" collapsed="false">
      <c r="A23" s="6" t="s">
        <v>68</v>
      </c>
      <c r="B23" s="9" t="n">
        <v>0.25</v>
      </c>
    </row>
    <row r="24" customFormat="false" ht="15" hidden="false" customHeight="false" outlineLevel="0" collapsed="false">
      <c r="A24" s="6" t="s">
        <v>69</v>
      </c>
      <c r="B24" s="9" t="n">
        <v>0.4</v>
      </c>
    </row>
    <row r="25" customFormat="false" ht="15" hidden="false" customHeight="false" outlineLevel="0" collapsed="false">
      <c r="A25" s="6" t="s">
        <v>70</v>
      </c>
      <c r="B25" s="10" t="n">
        <v>2</v>
      </c>
    </row>
    <row r="26" customFormat="false" ht="15" hidden="false" customHeight="false" outlineLevel="0" collapsed="false">
      <c r="A26" s="6" t="s">
        <v>71</v>
      </c>
      <c r="B26" s="10" t="n">
        <v>5</v>
      </c>
    </row>
    <row r="27" customFormat="false" ht="15" hidden="false" customHeight="false" outlineLevel="0" collapsed="false">
      <c r="A27" s="6" t="s">
        <v>72</v>
      </c>
      <c r="B27" s="10" t="n">
        <v>3</v>
      </c>
    </row>
    <row r="29" customFormat="false" ht="15" hidden="false" customHeight="false" outlineLevel="0" collapsed="false">
      <c r="A29" s="4" t="s">
        <v>73</v>
      </c>
      <c r="B29" s="4" t="s">
        <v>74</v>
      </c>
    </row>
    <row r="30" customFormat="false" ht="15" hidden="false" customHeight="false" outlineLevel="0" collapsed="false">
      <c r="A30" s="6" t="s">
        <v>75</v>
      </c>
      <c r="B30" s="10" t="n">
        <v>1</v>
      </c>
    </row>
    <row r="31" customFormat="false" ht="15" hidden="false" customHeight="false" outlineLevel="0" collapsed="false">
      <c r="A31" s="6" t="s">
        <v>76</v>
      </c>
      <c r="B31" s="10" t="n">
        <v>2</v>
      </c>
    </row>
    <row r="32" customFormat="false" ht="15" hidden="false" customHeight="false" outlineLevel="0" collapsed="false">
      <c r="A32" s="6" t="s">
        <v>77</v>
      </c>
      <c r="B32" s="10" t="n">
        <v>3</v>
      </c>
    </row>
    <row r="33" customFormat="false" ht="15" hidden="false" customHeight="false" outlineLevel="0" collapsed="false">
      <c r="A33" s="6" t="s">
        <v>78</v>
      </c>
      <c r="B33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3" t="s">
        <v>80</v>
      </c>
    </row>
    <row r="3" customFormat="false" ht="15" hidden="false" customHeight="false" outlineLevel="0" collapsed="false">
      <c r="B3" s="11" t="s">
        <v>81</v>
      </c>
      <c r="C3" s="12" t="s">
        <v>82</v>
      </c>
    </row>
    <row r="4" customFormat="false" ht="15" hidden="false" customHeight="false" outlineLevel="0" collapsed="false">
      <c r="B4" s="11" t="s">
        <v>83</v>
      </c>
      <c r="C4" s="12" t="s">
        <v>84</v>
      </c>
    </row>
    <row r="6" customFormat="false" ht="15" hidden="false" customHeight="false" outlineLevel="0" collapsed="false">
      <c r="A6" s="4" t="s">
        <v>85</v>
      </c>
      <c r="B6" s="4" t="s">
        <v>86</v>
      </c>
      <c r="C6" s="4" t="s">
        <v>87</v>
      </c>
      <c r="D6" s="4" t="s">
        <v>88</v>
      </c>
      <c r="E6" s="4" t="s">
        <v>89</v>
      </c>
    </row>
    <row r="7" customFormat="false" ht="15" hidden="false" customHeight="false" outlineLevel="0" collapsed="false">
      <c r="A7" s="13" t="s">
        <v>90</v>
      </c>
      <c r="B7" s="13"/>
      <c r="C7" s="13"/>
      <c r="D7" s="13"/>
      <c r="E7" s="13"/>
    </row>
    <row r="8" customFormat="false" ht="15" hidden="false" customHeight="false" outlineLevel="0" collapsed="false">
      <c r="A8" s="6" t="s">
        <v>91</v>
      </c>
      <c r="B8" s="6" t="s">
        <v>92</v>
      </c>
      <c r="C8" s="14" t="n">
        <v>18000</v>
      </c>
      <c r="D8" s="6" t="s">
        <v>93</v>
      </c>
      <c r="E8" s="6" t="s">
        <v>94</v>
      </c>
    </row>
    <row r="9" customFormat="false" ht="15" hidden="false" customHeight="false" outlineLevel="0" collapsed="false">
      <c r="A9" s="6" t="s">
        <v>95</v>
      </c>
      <c r="B9" s="6" t="s">
        <v>96</v>
      </c>
      <c r="C9" s="14" t="n">
        <v>6000</v>
      </c>
      <c r="D9" s="6" t="s">
        <v>93</v>
      </c>
      <c r="E9" s="6" t="s">
        <v>97</v>
      </c>
    </row>
    <row r="10" customFormat="false" ht="15" hidden="false" customHeight="false" outlineLevel="0" collapsed="false">
      <c r="A10" s="6" t="s">
        <v>98</v>
      </c>
      <c r="B10" s="6" t="s">
        <v>99</v>
      </c>
      <c r="C10" s="14" t="n">
        <v>9000</v>
      </c>
      <c r="D10" s="6" t="s">
        <v>93</v>
      </c>
      <c r="E10" s="6" t="s">
        <v>100</v>
      </c>
    </row>
    <row r="11" customFormat="false" ht="15" hidden="false" customHeight="false" outlineLevel="0" collapsed="false">
      <c r="A11" s="6" t="s">
        <v>101</v>
      </c>
      <c r="B11" s="6" t="s">
        <v>102</v>
      </c>
      <c r="C11" s="14" t="n">
        <v>500</v>
      </c>
      <c r="D11" s="6" t="s">
        <v>93</v>
      </c>
      <c r="E11" s="6" t="s">
        <v>97</v>
      </c>
    </row>
    <row r="12" customFormat="false" ht="15" hidden="false" customHeight="false" outlineLevel="0" collapsed="false">
      <c r="A12" s="6" t="s">
        <v>103</v>
      </c>
      <c r="B12" s="6" t="s">
        <v>104</v>
      </c>
      <c r="C12" s="14" t="n">
        <v>1500</v>
      </c>
      <c r="D12" s="6" t="s">
        <v>93</v>
      </c>
      <c r="E12" s="6" t="s">
        <v>97</v>
      </c>
    </row>
    <row r="13" customFormat="false" ht="15" hidden="false" customHeight="false" outlineLevel="0" collapsed="false">
      <c r="A13" s="6" t="s">
        <v>105</v>
      </c>
      <c r="B13" s="6" t="s">
        <v>106</v>
      </c>
      <c r="C13" s="14" t="n">
        <v>0</v>
      </c>
      <c r="D13" s="6" t="s">
        <v>93</v>
      </c>
      <c r="E13" s="6" t="s">
        <v>100</v>
      </c>
    </row>
    <row r="14" customFormat="false" ht="15" hidden="false" customHeight="false" outlineLevel="0" collapsed="false">
      <c r="A14" s="6" t="s">
        <v>107</v>
      </c>
      <c r="B14" s="6" t="s">
        <v>108</v>
      </c>
      <c r="C14" s="9" t="n">
        <v>0.22</v>
      </c>
      <c r="D14" s="6" t="s">
        <v>109</v>
      </c>
      <c r="E14" s="6" t="s">
        <v>110</v>
      </c>
    </row>
    <row r="15" customFormat="false" ht="15" hidden="false" customHeight="false" outlineLevel="0" collapsed="false">
      <c r="A15" s="6" t="s">
        <v>111</v>
      </c>
      <c r="B15" s="6" t="s">
        <v>112</v>
      </c>
      <c r="C15" s="7" t="n">
        <v>1.6</v>
      </c>
      <c r="D15" s="6" t="s">
        <v>93</v>
      </c>
      <c r="E15" s="6" t="s">
        <v>113</v>
      </c>
    </row>
    <row r="16" customFormat="false" ht="15" hidden="false" customHeight="false" outlineLevel="0" collapsed="false">
      <c r="A16" s="6" t="s">
        <v>114</v>
      </c>
      <c r="B16" s="6" t="s">
        <v>115</v>
      </c>
      <c r="C16" s="10" t="n">
        <v>2</v>
      </c>
      <c r="D16" s="6" t="s">
        <v>93</v>
      </c>
      <c r="E16" s="6" t="s">
        <v>116</v>
      </c>
    </row>
    <row r="17" customFormat="false" ht="15" hidden="false" customHeight="false" outlineLevel="0" collapsed="false">
      <c r="A17" s="6" t="s">
        <v>117</v>
      </c>
      <c r="B17" s="6" t="s">
        <v>118</v>
      </c>
      <c r="C17" s="12" t="s">
        <v>119</v>
      </c>
      <c r="D17" s="6" t="s">
        <v>120</v>
      </c>
      <c r="E17" s="6" t="s">
        <v>121</v>
      </c>
    </row>
    <row r="18" customFormat="false" ht="15" hidden="false" customHeight="false" outlineLevel="0" collapsed="false">
      <c r="A18" s="6" t="s">
        <v>122</v>
      </c>
      <c r="B18" s="6" t="s">
        <v>123</v>
      </c>
      <c r="C18" s="12" t="s">
        <v>29</v>
      </c>
      <c r="D18" s="6" t="s">
        <v>124</v>
      </c>
      <c r="E18" s="6" t="s">
        <v>125</v>
      </c>
    </row>
    <row r="19" customFormat="false" ht="15" hidden="false" customHeight="false" outlineLevel="0" collapsed="false">
      <c r="A19" s="6" t="s">
        <v>126</v>
      </c>
      <c r="B19" s="6" t="s">
        <v>127</v>
      </c>
      <c r="C19" s="12" t="s">
        <v>23</v>
      </c>
      <c r="D19" s="6" t="s">
        <v>128</v>
      </c>
      <c r="E19" s="6" t="s">
        <v>129</v>
      </c>
    </row>
    <row r="20" customFormat="false" ht="15" hidden="false" customHeight="false" outlineLevel="0" collapsed="false">
      <c r="A20" s="6" t="s">
        <v>130</v>
      </c>
      <c r="B20" s="6" t="s">
        <v>131</v>
      </c>
      <c r="C20" s="12" t="s">
        <v>132</v>
      </c>
      <c r="D20" s="6" t="s">
        <v>120</v>
      </c>
      <c r="E20" s="6" t="s">
        <v>121</v>
      </c>
    </row>
    <row r="22" customFormat="false" ht="15" hidden="false" customHeight="false" outlineLevel="0" collapsed="false">
      <c r="A22" s="13" t="s">
        <v>133</v>
      </c>
      <c r="B22" s="13"/>
      <c r="C22" s="13"/>
      <c r="D22" s="13"/>
      <c r="E22" s="13"/>
    </row>
    <row r="23" customFormat="false" ht="15" hidden="false" customHeight="false" outlineLevel="0" collapsed="false">
      <c r="A23" s="6" t="s">
        <v>134</v>
      </c>
      <c r="B23" s="6" t="s">
        <v>135</v>
      </c>
      <c r="C23" s="9" t="n">
        <v>0.18</v>
      </c>
      <c r="D23" s="6" t="s">
        <v>109</v>
      </c>
      <c r="E23" s="6" t="s">
        <v>136</v>
      </c>
    </row>
    <row r="24" customFormat="false" ht="15" hidden="false" customHeight="false" outlineLevel="0" collapsed="false">
      <c r="A24" s="6" t="s">
        <v>137</v>
      </c>
      <c r="B24" s="6" t="s">
        <v>138</v>
      </c>
      <c r="C24" s="9" t="n">
        <v>0.72</v>
      </c>
      <c r="D24" s="6" t="s">
        <v>109</v>
      </c>
      <c r="E24" s="6" t="s">
        <v>136</v>
      </c>
    </row>
    <row r="25" customFormat="false" ht="15" hidden="false" customHeight="false" outlineLevel="0" collapsed="false">
      <c r="A25" s="6" t="s">
        <v>139</v>
      </c>
      <c r="B25" s="6" t="s">
        <v>18</v>
      </c>
      <c r="C25" s="12" t="s">
        <v>35</v>
      </c>
      <c r="D25" s="6" t="s">
        <v>140</v>
      </c>
      <c r="E25" s="6" t="s">
        <v>141</v>
      </c>
    </row>
    <row r="26" customFormat="false" ht="15" hidden="false" customHeight="false" outlineLevel="0" collapsed="false">
      <c r="A26" s="6" t="s">
        <v>142</v>
      </c>
      <c r="B26" s="6" t="s">
        <v>143</v>
      </c>
      <c r="C26" s="9" t="n">
        <v>0.08</v>
      </c>
      <c r="D26" s="6" t="s">
        <v>109</v>
      </c>
      <c r="E26" s="6" t="s">
        <v>141</v>
      </c>
    </row>
    <row r="27" customFormat="false" ht="15" hidden="false" customHeight="false" outlineLevel="0" collapsed="false">
      <c r="A27" s="6" t="s">
        <v>144</v>
      </c>
      <c r="B27" s="6" t="s">
        <v>145</v>
      </c>
      <c r="C27" s="15" t="n">
        <v>4.5</v>
      </c>
      <c r="D27" s="6" t="s">
        <v>93</v>
      </c>
      <c r="E27" s="6" t="s">
        <v>146</v>
      </c>
    </row>
    <row r="29" customFormat="false" ht="15" hidden="false" customHeight="false" outlineLevel="0" collapsed="false">
      <c r="A29" s="13" t="s">
        <v>147</v>
      </c>
      <c r="B29" s="13"/>
      <c r="C29" s="13"/>
      <c r="D29" s="13"/>
      <c r="E29" s="13"/>
    </row>
    <row r="30" customFormat="false" ht="15" hidden="false" customHeight="false" outlineLevel="0" collapsed="false">
      <c r="A30" s="6" t="s">
        <v>148</v>
      </c>
      <c r="B30" s="6" t="s">
        <v>149</v>
      </c>
      <c r="C30" s="12" t="s">
        <v>150</v>
      </c>
      <c r="D30" s="6" t="s">
        <v>120</v>
      </c>
      <c r="E30" s="6" t="s">
        <v>151</v>
      </c>
    </row>
    <row r="31" customFormat="false" ht="15" hidden="false" customHeight="false" outlineLevel="0" collapsed="false">
      <c r="A31" s="6" t="s">
        <v>152</v>
      </c>
      <c r="B31" s="6" t="s">
        <v>153</v>
      </c>
      <c r="C31" s="12" t="s">
        <v>154</v>
      </c>
      <c r="D31" s="6" t="s">
        <v>120</v>
      </c>
      <c r="E31" s="6" t="s">
        <v>155</v>
      </c>
    </row>
    <row r="32" customFormat="false" ht="23.85" hidden="false" customHeight="false" outlineLevel="0" collapsed="false">
      <c r="A32" s="6" t="s">
        <v>156</v>
      </c>
      <c r="B32" s="6" t="s">
        <v>157</v>
      </c>
      <c r="C32" s="12" t="s">
        <v>158</v>
      </c>
      <c r="D32" s="6" t="s">
        <v>120</v>
      </c>
      <c r="E32" s="6" t="s">
        <v>159</v>
      </c>
    </row>
    <row r="33" customFormat="false" ht="15" hidden="false" customHeight="false" outlineLevel="0" collapsed="false">
      <c r="A33" s="6" t="s">
        <v>160</v>
      </c>
      <c r="B33" s="6" t="s">
        <v>161</v>
      </c>
      <c r="C33" s="12" t="s">
        <v>23</v>
      </c>
      <c r="D33" s="6" t="s">
        <v>128</v>
      </c>
      <c r="E33" s="6" t="s">
        <v>162</v>
      </c>
    </row>
    <row r="34" customFormat="false" ht="15" hidden="false" customHeight="false" outlineLevel="0" collapsed="false">
      <c r="A34" s="6" t="s">
        <v>163</v>
      </c>
      <c r="B34" s="6" t="s">
        <v>164</v>
      </c>
      <c r="C34" s="12" t="s">
        <v>41</v>
      </c>
      <c r="D34" s="6" t="s">
        <v>165</v>
      </c>
      <c r="E34" s="6" t="s">
        <v>166</v>
      </c>
    </row>
    <row r="36" customFormat="false" ht="15" hidden="false" customHeight="false" outlineLevel="0" collapsed="false">
      <c r="A36" s="13" t="s">
        <v>167</v>
      </c>
      <c r="B36" s="13"/>
      <c r="C36" s="13"/>
      <c r="D36" s="13"/>
      <c r="E36" s="13"/>
    </row>
    <row r="37" customFormat="false" ht="15" hidden="false" customHeight="false" outlineLevel="0" collapsed="false">
      <c r="A37" s="6" t="s">
        <v>168</v>
      </c>
      <c r="B37" s="6" t="s">
        <v>169</v>
      </c>
      <c r="C37" s="12" t="s">
        <v>23</v>
      </c>
      <c r="D37" s="6" t="s">
        <v>128</v>
      </c>
      <c r="E37" s="6" t="s">
        <v>170</v>
      </c>
    </row>
    <row r="38" customFormat="false" ht="15" hidden="false" customHeight="false" outlineLevel="0" collapsed="false">
      <c r="A38" s="6" t="s">
        <v>171</v>
      </c>
      <c r="B38" s="6" t="s">
        <v>172</v>
      </c>
      <c r="C38" s="12" t="s">
        <v>173</v>
      </c>
      <c r="D38" s="6" t="s">
        <v>120</v>
      </c>
      <c r="E38" s="6" t="s">
        <v>170</v>
      </c>
    </row>
    <row r="39" customFormat="false" ht="15" hidden="false" customHeight="false" outlineLevel="0" collapsed="false">
      <c r="A39" s="6" t="s">
        <v>174</v>
      </c>
      <c r="B39" s="6" t="s">
        <v>175</v>
      </c>
      <c r="C39" s="12" t="s">
        <v>176</v>
      </c>
      <c r="D39" s="6" t="s">
        <v>120</v>
      </c>
      <c r="E39" s="6" t="s">
        <v>170</v>
      </c>
    </row>
    <row r="40" customFormat="false" ht="15" hidden="false" customHeight="false" outlineLevel="0" collapsed="false">
      <c r="A40" s="6" t="s">
        <v>177</v>
      </c>
      <c r="B40" s="6" t="s">
        <v>178</v>
      </c>
      <c r="C40" s="12" t="s">
        <v>179</v>
      </c>
      <c r="D40" s="6" t="s">
        <v>120</v>
      </c>
      <c r="E40" s="6" t="s">
        <v>170</v>
      </c>
    </row>
    <row r="41" customFormat="false" ht="15" hidden="false" customHeight="false" outlineLevel="0" collapsed="false">
      <c r="A41" s="6" t="s">
        <v>180</v>
      </c>
      <c r="B41" s="6" t="s">
        <v>181</v>
      </c>
      <c r="C41" s="12" t="s">
        <v>182</v>
      </c>
      <c r="D41" s="6" t="s">
        <v>120</v>
      </c>
      <c r="E41" s="6" t="s">
        <v>170</v>
      </c>
    </row>
    <row r="42" customFormat="false" ht="15" hidden="false" customHeight="false" outlineLevel="0" collapsed="false">
      <c r="A42" s="6" t="s">
        <v>183</v>
      </c>
      <c r="B42" s="6" t="s">
        <v>184</v>
      </c>
      <c r="C42" s="12" t="s">
        <v>31</v>
      </c>
      <c r="D42" s="6" t="s">
        <v>128</v>
      </c>
      <c r="E42" s="6" t="s">
        <v>170</v>
      </c>
    </row>
    <row r="43" customFormat="false" ht="15" hidden="false" customHeight="false" outlineLevel="0" collapsed="false">
      <c r="A43" s="6" t="s">
        <v>185</v>
      </c>
      <c r="B43" s="6" t="s">
        <v>186</v>
      </c>
      <c r="C43" s="12" t="s">
        <v>23</v>
      </c>
      <c r="D43" s="6" t="s">
        <v>128</v>
      </c>
      <c r="E43" s="6" t="s">
        <v>187</v>
      </c>
    </row>
    <row r="45" customFormat="false" ht="15" hidden="false" customHeight="false" outlineLevel="0" collapsed="false">
      <c r="A45" s="13" t="s">
        <v>188</v>
      </c>
      <c r="B45" s="13"/>
      <c r="C45" s="13"/>
      <c r="D45" s="13"/>
      <c r="E45" s="13"/>
    </row>
    <row r="46" customFormat="false" ht="15" hidden="false" customHeight="false" outlineLevel="0" collapsed="false">
      <c r="A46" s="6" t="s">
        <v>189</v>
      </c>
      <c r="B46" s="6" t="s">
        <v>190</v>
      </c>
      <c r="C46" s="12" t="s">
        <v>32</v>
      </c>
      <c r="D46" s="6" t="s">
        <v>191</v>
      </c>
      <c r="E46" s="6" t="s">
        <v>192</v>
      </c>
    </row>
    <row r="47" customFormat="false" ht="15" hidden="false" customHeight="false" outlineLevel="0" collapsed="false">
      <c r="A47" s="6" t="s">
        <v>193</v>
      </c>
      <c r="B47" s="6" t="s">
        <v>194</v>
      </c>
      <c r="C47" s="12" t="s">
        <v>33</v>
      </c>
      <c r="D47" s="6" t="s">
        <v>195</v>
      </c>
      <c r="E47" s="6" t="s">
        <v>196</v>
      </c>
    </row>
    <row r="48" customFormat="false" ht="15" hidden="false" customHeight="false" outlineLevel="0" collapsed="false">
      <c r="A48" s="6" t="s">
        <v>197</v>
      </c>
      <c r="B48" s="6" t="s">
        <v>198</v>
      </c>
      <c r="C48" s="14" t="n">
        <v>85</v>
      </c>
      <c r="D48" s="6" t="s">
        <v>93</v>
      </c>
      <c r="E48" s="6" t="s">
        <v>146</v>
      </c>
    </row>
    <row r="49" customFormat="false" ht="15" hidden="false" customHeight="false" outlineLevel="0" collapsed="false">
      <c r="A49" s="6" t="s">
        <v>199</v>
      </c>
      <c r="B49" s="6" t="s">
        <v>200</v>
      </c>
      <c r="C49" s="9" t="n">
        <v>0.28</v>
      </c>
      <c r="D49" s="6" t="s">
        <v>109</v>
      </c>
      <c r="E49" s="6" t="s">
        <v>146</v>
      </c>
    </row>
    <row r="50" customFormat="false" ht="23.85" hidden="false" customHeight="false" outlineLevel="0" collapsed="false">
      <c r="A50" s="6" t="s">
        <v>201</v>
      </c>
      <c r="B50" s="6" t="s">
        <v>202</v>
      </c>
      <c r="C50" s="12" t="s">
        <v>203</v>
      </c>
      <c r="D50" s="6" t="s">
        <v>120</v>
      </c>
      <c r="E50" s="6" t="s">
        <v>204</v>
      </c>
    </row>
    <row r="51" customFormat="false" ht="23.85" hidden="false" customHeight="false" outlineLevel="0" collapsed="false">
      <c r="A51" s="6" t="s">
        <v>205</v>
      </c>
      <c r="B51" s="6" t="s">
        <v>206</v>
      </c>
      <c r="C51" s="12" t="s">
        <v>207</v>
      </c>
      <c r="D51" s="6" t="s">
        <v>120</v>
      </c>
      <c r="E51" s="6" t="s">
        <v>208</v>
      </c>
    </row>
    <row r="53" customFormat="false" ht="15" hidden="false" customHeight="false" outlineLevel="0" collapsed="false">
      <c r="A53" s="13" t="s">
        <v>209</v>
      </c>
      <c r="B53" s="13"/>
      <c r="C53" s="13"/>
      <c r="D53" s="13"/>
      <c r="E53" s="13"/>
    </row>
    <row r="54" customFormat="false" ht="15" hidden="false" customHeight="false" outlineLevel="0" collapsed="false">
      <c r="A54" s="6" t="s">
        <v>210</v>
      </c>
      <c r="B54" s="6" t="s">
        <v>211</v>
      </c>
      <c r="C54" s="12" t="s">
        <v>23</v>
      </c>
      <c r="D54" s="6" t="s">
        <v>128</v>
      </c>
      <c r="E54" s="6" t="s">
        <v>166</v>
      </c>
    </row>
    <row r="55" customFormat="false" ht="15" hidden="false" customHeight="false" outlineLevel="0" collapsed="false">
      <c r="A55" s="6" t="s">
        <v>212</v>
      </c>
      <c r="B55" s="6" t="s">
        <v>213</v>
      </c>
      <c r="C55" s="12" t="s">
        <v>23</v>
      </c>
      <c r="D55" s="6" t="s">
        <v>128</v>
      </c>
      <c r="E55" s="6" t="s">
        <v>166</v>
      </c>
    </row>
    <row r="56" customFormat="false" ht="15" hidden="false" customHeight="false" outlineLevel="0" collapsed="false">
      <c r="A56" s="6" t="s">
        <v>214</v>
      </c>
      <c r="B56" s="6" t="s">
        <v>215</v>
      </c>
      <c r="C56" s="12" t="s">
        <v>31</v>
      </c>
      <c r="D56" s="6" t="s">
        <v>128</v>
      </c>
      <c r="E56" s="6" t="s">
        <v>166</v>
      </c>
    </row>
    <row r="57" customFormat="false" ht="15" hidden="false" customHeight="false" outlineLevel="0" collapsed="false">
      <c r="A57" s="6" t="s">
        <v>216</v>
      </c>
      <c r="B57" s="6" t="s">
        <v>217</v>
      </c>
      <c r="C57" s="12" t="s">
        <v>31</v>
      </c>
      <c r="D57" s="6" t="s">
        <v>128</v>
      </c>
      <c r="E57" s="6" t="s">
        <v>166</v>
      </c>
    </row>
    <row r="58" customFormat="false" ht="15" hidden="false" customHeight="false" outlineLevel="0" collapsed="false">
      <c r="A58" s="6" t="s">
        <v>218</v>
      </c>
      <c r="B58" s="6" t="s">
        <v>219</v>
      </c>
      <c r="C58" s="12" t="s">
        <v>31</v>
      </c>
      <c r="D58" s="6" t="s">
        <v>128</v>
      </c>
      <c r="E58" s="6" t="s">
        <v>166</v>
      </c>
    </row>
    <row r="59" customFormat="false" ht="15" hidden="false" customHeight="false" outlineLevel="0" collapsed="false">
      <c r="A59" s="6" t="s">
        <v>220</v>
      </c>
      <c r="B59" s="6" t="s">
        <v>221</v>
      </c>
      <c r="C59" s="12" t="s">
        <v>222</v>
      </c>
      <c r="D59" s="6" t="s">
        <v>120</v>
      </c>
      <c r="E59" s="6" t="s">
        <v>166</v>
      </c>
    </row>
    <row r="60" customFormat="false" ht="23.85" hidden="false" customHeight="false" outlineLevel="0" collapsed="false">
      <c r="A60" s="6" t="s">
        <v>223</v>
      </c>
      <c r="B60" s="6" t="s">
        <v>224</v>
      </c>
      <c r="C60" s="12" t="s">
        <v>225</v>
      </c>
      <c r="D60" s="6" t="s">
        <v>120</v>
      </c>
      <c r="E60" s="6" t="s">
        <v>226</v>
      </c>
    </row>
    <row r="61" customFormat="false" ht="15" hidden="false" customHeight="false" outlineLevel="0" collapsed="false">
      <c r="A61" s="6" t="s">
        <v>227</v>
      </c>
      <c r="B61" s="6" t="s">
        <v>228</v>
      </c>
      <c r="C61" s="12" t="s">
        <v>229</v>
      </c>
      <c r="D61" s="6" t="s">
        <v>120</v>
      </c>
      <c r="E61" s="6" t="s">
        <v>230</v>
      </c>
    </row>
    <row r="62" customFormat="false" ht="15" hidden="false" customHeight="false" outlineLevel="0" collapsed="false">
      <c r="A62" s="6" t="s">
        <v>231</v>
      </c>
      <c r="B62" s="6" t="s">
        <v>232</v>
      </c>
      <c r="C62" s="12" t="s">
        <v>36</v>
      </c>
      <c r="D62" s="6" t="s">
        <v>233</v>
      </c>
      <c r="E62" s="6" t="s">
        <v>208</v>
      </c>
    </row>
    <row r="64" customFormat="false" ht="15" hidden="false" customHeight="false" outlineLevel="0" collapsed="false">
      <c r="A64" s="13" t="s">
        <v>234</v>
      </c>
      <c r="B64" s="13"/>
      <c r="C64" s="13"/>
      <c r="D64" s="13"/>
      <c r="E64" s="13"/>
    </row>
    <row r="65" customFormat="false" ht="15" hidden="false" customHeight="false" outlineLevel="0" collapsed="false">
      <c r="A65" s="6" t="s">
        <v>235</v>
      </c>
      <c r="B65" s="6" t="s">
        <v>236</v>
      </c>
      <c r="C65" s="12" t="s">
        <v>28</v>
      </c>
      <c r="D65" s="6" t="s">
        <v>237</v>
      </c>
      <c r="E65" s="6" t="s">
        <v>238</v>
      </c>
    </row>
    <row r="66" customFormat="false" ht="15" hidden="false" customHeight="false" outlineLevel="0" collapsed="false">
      <c r="A66" s="6" t="s">
        <v>239</v>
      </c>
      <c r="B66" s="6" t="s">
        <v>240</v>
      </c>
      <c r="C66" s="12" t="s">
        <v>241</v>
      </c>
      <c r="D66" s="6" t="s">
        <v>120</v>
      </c>
      <c r="E66" s="6" t="s">
        <v>121</v>
      </c>
    </row>
    <row r="67" customFormat="false" ht="15" hidden="false" customHeight="false" outlineLevel="0" collapsed="false">
      <c r="A67" s="6" t="s">
        <v>242</v>
      </c>
      <c r="B67" s="6" t="s">
        <v>243</v>
      </c>
      <c r="C67" s="12" t="s">
        <v>77</v>
      </c>
      <c r="D67" s="6" t="s">
        <v>244</v>
      </c>
      <c r="E67" s="6" t="s">
        <v>245</v>
      </c>
    </row>
    <row r="68" customFormat="false" ht="15" hidden="false" customHeight="false" outlineLevel="0" collapsed="false">
      <c r="A68" s="6" t="s">
        <v>246</v>
      </c>
      <c r="B68" s="6" t="s">
        <v>247</v>
      </c>
      <c r="C68" s="12" t="s">
        <v>248</v>
      </c>
      <c r="D68" s="6" t="s">
        <v>120</v>
      </c>
      <c r="E68" s="6" t="s">
        <v>121</v>
      </c>
    </row>
    <row r="69" customFormat="false" ht="23.85" hidden="false" customHeight="false" outlineLevel="0" collapsed="false">
      <c r="A69" s="6" t="s">
        <v>249</v>
      </c>
      <c r="B69" s="6" t="s">
        <v>250</v>
      </c>
      <c r="C69" s="12" t="s">
        <v>251</v>
      </c>
      <c r="D69" s="6" t="s">
        <v>120</v>
      </c>
      <c r="E69" s="6" t="s">
        <v>252</v>
      </c>
    </row>
  </sheetData>
  <mergeCells count="7">
    <mergeCell ref="A7:E7"/>
    <mergeCell ref="A22:E22"/>
    <mergeCell ref="A29:E29"/>
    <mergeCell ref="A36:E36"/>
    <mergeCell ref="A45:E45"/>
    <mergeCell ref="A53:E53"/>
    <mergeCell ref="A64:E64"/>
  </mergeCells>
  <dataValidations count="18">
    <dataValidation allowBlank="true" errorStyle="stop" operator="between" showDropDown="false" showErrorMessage="false" showInputMessage="false" sqref="C18" type="list">
      <formula1>Settings!$K$4:$K$7</formula1>
      <formula2>0</formula2>
    </dataValidation>
    <dataValidation allowBlank="true" errorStyle="stop" operator="between" showDropDown="false" showErrorMessage="false" showInputMessage="false" sqref="C19" type="list">
      <formula1>Settings!$D$4:$D$5</formula1>
      <formula2>0</formula2>
    </dataValidation>
    <dataValidation allowBlank="true" errorStyle="stop" operator="between" showDropDown="false" showErrorMessage="false" showInputMessage="false" sqref="C25" type="list">
      <formula1>Settings!$H$4:$H$8</formula1>
      <formula2>0</formula2>
    </dataValidation>
    <dataValidation allowBlank="true" errorStyle="stop" operator="between" showDropDown="false" showErrorMessage="false" showInputMessage="false" sqref="C33" type="list">
      <formula1>Settings!$D$4:$D$5</formula1>
      <formula2>0</formula2>
    </dataValidation>
    <dataValidation allowBlank="true" errorStyle="stop" operator="between" showDropDown="false" showErrorMessage="false" showInputMessage="false" sqref="C34" type="list">
      <formula1>Settings!$G$4:$G$6</formula1>
      <formula2>0</formula2>
    </dataValidation>
    <dataValidation allowBlank="true" errorStyle="stop" operator="between" showDropDown="false" showErrorMessage="false" showInputMessage="false" sqref="C37" type="list">
      <formula1>Settings!$D$4:$D$5</formula1>
      <formula2>0</formula2>
    </dataValidation>
    <dataValidation allowBlank="true" errorStyle="stop" operator="between" showDropDown="false" showErrorMessage="false" showInputMessage="false" sqref="C42" type="list">
      <formula1>Settings!$D$4:$D$5</formula1>
      <formula2>0</formula2>
    </dataValidation>
    <dataValidation allowBlank="true" errorStyle="stop" operator="between" showDropDown="false" showErrorMessage="false" showInputMessage="false" sqref="C43" type="list">
      <formula1>Settings!$D$4:$D$5</formula1>
      <formula2>0</formula2>
    </dataValidation>
    <dataValidation allowBlank="true" errorStyle="stop" operator="between" showDropDown="false" showErrorMessage="false" showInputMessage="false" sqref="C46" type="list">
      <formula1>Settings!$E$4:$E$8</formula1>
      <formula2>0</formula2>
    </dataValidation>
    <dataValidation allowBlank="true" errorStyle="stop" operator="between" showDropDown="false" showErrorMessage="false" showInputMessage="false" sqref="C47" type="list">
      <formula1>Settings!$F$4:$F$6</formula1>
      <formula2>0</formula2>
    </dataValidation>
    <dataValidation allowBlank="true" errorStyle="stop" operator="between" showDropDown="false" showErrorMessage="false" showInputMessage="false" sqref="C54" type="list">
      <formula1>Settings!$D$4:$D$5</formula1>
      <formula2>0</formula2>
    </dataValidation>
    <dataValidation allowBlank="true" errorStyle="stop" operator="between" showDropDown="false" showErrorMessage="false" showInputMessage="false" sqref="C55" type="list">
      <formula1>Settings!$D$4:$D$5</formula1>
      <formula2>0</formula2>
    </dataValidation>
    <dataValidation allowBlank="true" errorStyle="stop" operator="between" showDropDown="false" showErrorMessage="false" showInputMessage="false" sqref="C56" type="list">
      <formula1>Settings!$D$4:$D$5</formula1>
      <formula2>0</formula2>
    </dataValidation>
    <dataValidation allowBlank="true" errorStyle="stop" operator="between" showDropDown="false" showErrorMessage="false" showInputMessage="false" sqref="C57" type="list">
      <formula1>Settings!$D$4:$D$5</formula1>
      <formula2>0</formula2>
    </dataValidation>
    <dataValidation allowBlank="true" errorStyle="stop" operator="between" showDropDown="false" showErrorMessage="false" showInputMessage="false" sqref="C58" type="list">
      <formula1>Settings!$D$4:$D$5</formula1>
      <formula2>0</formula2>
    </dataValidation>
    <dataValidation allowBlank="true" errorStyle="stop" operator="between" showDropDown="false" showErrorMessage="false" showInputMessage="false" sqref="C62" type="list">
      <formula1>Settings!$I$4:$I$6</formula1>
      <formula2>0</formula2>
    </dataValidation>
    <dataValidation allowBlank="true" errorStyle="stop" operator="between" showDropDown="false" showErrorMessage="false" showInputMessage="false" sqref="C65" type="list">
      <formula1>Settings!$J$4:$J$8</formula1>
      <formula2>0</formula2>
    </dataValidation>
    <dataValidation allowBlank="true" errorStyle="stop" operator="between" showDropDown="false" showErrorMessage="false" showInputMessage="false" sqref="C67" type="list">
      <formula1>Settings!$A$30:$A$33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3" t="s">
        <v>254</v>
      </c>
    </row>
    <row r="4" customFormat="false" ht="15" hidden="false" customHeight="false" outlineLevel="0" collapsed="false">
      <c r="A4" s="4" t="s">
        <v>255</v>
      </c>
      <c r="B4" s="4" t="s">
        <v>256</v>
      </c>
      <c r="C4" s="4" t="s">
        <v>257</v>
      </c>
      <c r="D4" s="4" t="s">
        <v>258</v>
      </c>
      <c r="E4" s="4" t="s">
        <v>259</v>
      </c>
    </row>
    <row r="5" customFormat="false" ht="15" hidden="false" customHeight="false" outlineLevel="0" collapsed="false">
      <c r="A5" s="11" t="s">
        <v>260</v>
      </c>
      <c r="B5" s="10" t="n">
        <v>3</v>
      </c>
      <c r="C5" s="6" t="s">
        <v>261</v>
      </c>
      <c r="D5" s="6" t="s">
        <v>262</v>
      </c>
      <c r="E5" s="6" t="s">
        <v>263</v>
      </c>
    </row>
    <row r="6" customFormat="false" ht="15" hidden="false" customHeight="false" outlineLevel="0" collapsed="false">
      <c r="A6" s="11" t="s">
        <v>264</v>
      </c>
      <c r="B6" s="10" t="n">
        <v>2</v>
      </c>
      <c r="C6" s="6" t="s">
        <v>265</v>
      </c>
      <c r="D6" s="6" t="s">
        <v>266</v>
      </c>
      <c r="E6" s="6" t="s">
        <v>267</v>
      </c>
    </row>
    <row r="7" customFormat="false" ht="15" hidden="false" customHeight="false" outlineLevel="0" collapsed="false">
      <c r="A7" s="11" t="s">
        <v>268</v>
      </c>
      <c r="B7" s="10" t="n">
        <v>4</v>
      </c>
      <c r="C7" s="6" t="s">
        <v>269</v>
      </c>
      <c r="D7" s="6" t="s">
        <v>270</v>
      </c>
      <c r="E7" s="6" t="s">
        <v>271</v>
      </c>
    </row>
    <row r="8" customFormat="false" ht="23.85" hidden="false" customHeight="false" outlineLevel="0" collapsed="false">
      <c r="A8" s="11" t="s">
        <v>272</v>
      </c>
      <c r="B8" s="10" t="n">
        <v>3</v>
      </c>
      <c r="C8" s="6" t="s">
        <v>273</v>
      </c>
      <c r="D8" s="6" t="s">
        <v>274</v>
      </c>
      <c r="E8" s="6" t="s">
        <v>275</v>
      </c>
    </row>
    <row r="9" customFormat="false" ht="15" hidden="false" customHeight="false" outlineLevel="0" collapsed="false">
      <c r="A9" s="11" t="s">
        <v>276</v>
      </c>
      <c r="B9" s="10" t="n">
        <v>3</v>
      </c>
      <c r="C9" s="6" t="s">
        <v>277</v>
      </c>
      <c r="D9" s="6" t="s">
        <v>278</v>
      </c>
      <c r="E9" s="6" t="s">
        <v>279</v>
      </c>
    </row>
    <row r="11" customFormat="false" ht="15" hidden="false" customHeight="false" outlineLevel="0" collapsed="false">
      <c r="A11" s="11" t="s">
        <v>280</v>
      </c>
      <c r="B11" s="6" t="str">
        <f aca="false">IF(B8&lt;=1,"GATE: no platform yet, sort the owner first","Open")</f>
        <v>Open</v>
      </c>
    </row>
    <row r="12" customFormat="false" ht="23.85" hidden="false" customHeight="false" outlineLevel="0" collapsed="false">
      <c r="A12" s="11" t="s">
        <v>281</v>
      </c>
      <c r="B12" s="16" t="n">
        <f aca="false">AVERAGE(B5:B9)</f>
        <v>3</v>
      </c>
    </row>
  </sheetData>
  <dataValidations count="1">
    <dataValidation allowBlank="true" errorStyle="stop" operator="between" showDropDown="false" showErrorMessage="false" showInputMessage="false" sqref="B5:B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5" min="14" style="0" width="12"/>
    <col collapsed="false" customWidth="true" hidden="false" outlineLevel="0" max="17" min="16" style="0" width="9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3" t="s">
        <v>283</v>
      </c>
    </row>
    <row r="4" customFormat="false" ht="23.85" hidden="false" customHeight="false" outlineLevel="0" collapsed="false">
      <c r="A4" s="4" t="s">
        <v>85</v>
      </c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  <c r="H4" s="4" t="s">
        <v>56</v>
      </c>
      <c r="I4" s="4" t="s">
        <v>290</v>
      </c>
      <c r="J4" s="4" t="s">
        <v>291</v>
      </c>
      <c r="K4" s="4" t="s">
        <v>292</v>
      </c>
      <c r="L4" s="4" t="s">
        <v>293</v>
      </c>
      <c r="M4" s="4" t="s">
        <v>294</v>
      </c>
      <c r="N4" s="4" t="s">
        <v>295</v>
      </c>
      <c r="O4" s="4" t="s">
        <v>296</v>
      </c>
      <c r="P4" s="4" t="s">
        <v>297</v>
      </c>
      <c r="Q4" s="4" t="s">
        <v>298</v>
      </c>
    </row>
    <row r="5" customFormat="false" ht="15" hidden="false" customHeight="false" outlineLevel="0" collapsed="false">
      <c r="A5" s="6" t="n">
        <v>1</v>
      </c>
      <c r="B5" s="12" t="s">
        <v>299</v>
      </c>
      <c r="C5" s="9" t="n">
        <v>0.11</v>
      </c>
      <c r="D5" s="12" t="s">
        <v>39</v>
      </c>
      <c r="E5" s="12" t="s">
        <v>57</v>
      </c>
      <c r="F5" s="12" t="s">
        <v>300</v>
      </c>
      <c r="G5" s="17" t="n">
        <f aca="false">IF(D5="","",IFERROR(INDEX(Settings!$B$4:$B$9,MATCH(D5,Settings!$A$4:$A$9,0)),""))</f>
        <v>0.9</v>
      </c>
      <c r="H5" s="17" t="n">
        <f aca="false">IF(E5="","",IFERROR(INDEX(Settings!$B$12:$B$14,MATCH(E5,Settings!$A$12:$A$14,0)),""))</f>
        <v>1</v>
      </c>
      <c r="I5" s="18" t="n">
        <f aca="false">IF(OR(C5="",G5="",H5=""),"",C5*G5*H5)</f>
        <v>0.099</v>
      </c>
      <c r="J5" s="19" t="n">
        <f aca="false">IF(I5="","",Profile!$C$4*I5*Questionnaire!$C$27*12)</f>
        <v>187110</v>
      </c>
      <c r="K5" s="6" t="str">
        <f aca="false">IF(D5="","",IF(LEFT(D5,13)="Informational","Knowledge",IF(LEFT(D5,13)="Transactional","Integration","People")))</f>
        <v>Integration</v>
      </c>
      <c r="L5" s="20" t="n">
        <f aca="false">IF(K5="","",MIN(INDEX(Readiness!$B$5:$B$9,MATCH(K5,Readiness!$A$5:$A$9,0)),Readiness!$B$8))</f>
        <v>3</v>
      </c>
      <c r="M5" s="6" t="str">
        <f aca="false">IF(I5="","",IF(G5=0,"Regulated, stays human",IF(AND(I5&gt;0,RANK(I5,$I$5:$I$24,0)&lt;=Settings!$B$26),IF(L5&gt;=Settings!$B$27,"Phase 1","Fix first"),IF(L5&gt;=Settings!$B$27,"Later","Leave with humans"))))</f>
        <v>Phase 1</v>
      </c>
      <c r="N5" s="21" t="n">
        <f aca="false">IF(OR(C5="",D5=""),0,IF(LEFT(D5,13)="Informational",C5,0))</f>
        <v>0</v>
      </c>
      <c r="O5" s="21" t="n">
        <f aca="false">IF(OR(C5="",D5=""),0,IF(LEFT(D5,13)="Transactional",C5,0))</f>
        <v>0.11</v>
      </c>
      <c r="P5" s="22" t="n">
        <f aca="false">IF(M5="Phase 1",COUNTIF($M$5:M5,"Phase 1"),"")</f>
        <v>1</v>
      </c>
      <c r="Q5" s="22" t="str">
        <f aca="false">IF(M5="Fix first",COUNTIF($M$5:M5,"Fix first"),"")</f>
        <v/>
      </c>
    </row>
    <row r="6" customFormat="false" ht="15" hidden="false" customHeight="false" outlineLevel="0" collapsed="false">
      <c r="A6" s="6" t="n">
        <v>2</v>
      </c>
      <c r="B6" s="12" t="s">
        <v>301</v>
      </c>
      <c r="C6" s="9" t="n">
        <v>0.09</v>
      </c>
      <c r="D6" s="12" t="s">
        <v>39</v>
      </c>
      <c r="E6" s="12" t="s">
        <v>58</v>
      </c>
      <c r="F6" s="12" t="s">
        <v>302</v>
      </c>
      <c r="G6" s="17" t="n">
        <f aca="false">IF(D6="","",IFERROR(INDEX(Settings!$B$4:$B$9,MATCH(D6,Settings!$A$4:$A$9,0)),""))</f>
        <v>0.9</v>
      </c>
      <c r="H6" s="17" t="n">
        <f aca="false">IF(E6="","",IFERROR(INDEX(Settings!$B$12:$B$14,MATCH(E6,Settings!$A$12:$A$14,0)),""))</f>
        <v>0.8</v>
      </c>
      <c r="I6" s="18" t="n">
        <f aca="false">IF(OR(C6="",G6="",H6=""),"",C6*G6*H6)</f>
        <v>0.0648</v>
      </c>
      <c r="J6" s="19" t="n">
        <f aca="false">IF(I6="","",Profile!$C$4*I6*Questionnaire!$C$27*12)</f>
        <v>122472</v>
      </c>
      <c r="K6" s="6" t="str">
        <f aca="false">IF(D6="","",IF(LEFT(D6,13)="Informational","Knowledge",IF(LEFT(D6,13)="Transactional","Integration","People")))</f>
        <v>Integration</v>
      </c>
      <c r="L6" s="20" t="n">
        <f aca="false">IF(K6="","",MIN(INDEX(Readiness!$B$5:$B$9,MATCH(K6,Readiness!$A$5:$A$9,0)),Readiness!$B$8))</f>
        <v>3</v>
      </c>
      <c r="M6" s="6" t="str">
        <f aca="false">IF(I6="","",IF(G6=0,"Regulated, stays human",IF(AND(I6&gt;0,RANK(I6,$I$5:$I$24,0)&lt;=Settings!$B$26),IF(L6&gt;=Settings!$B$27,"Phase 1","Fix first"),IF(L6&gt;=Settings!$B$27,"Later","Leave with humans"))))</f>
        <v>Phase 1</v>
      </c>
      <c r="N6" s="21" t="n">
        <f aca="false">IF(OR(C6="",D6=""),0,IF(LEFT(D6,13)="Informational",C6,0))</f>
        <v>0</v>
      </c>
      <c r="O6" s="21" t="n">
        <f aca="false">IF(OR(C6="",D6=""),0,IF(LEFT(D6,13)="Transactional",C6,0))</f>
        <v>0.09</v>
      </c>
      <c r="P6" s="22" t="n">
        <f aca="false">IF(M6="Phase 1",COUNTIF($M$5:M6,"Phase 1"),"")</f>
        <v>2</v>
      </c>
      <c r="Q6" s="22" t="str">
        <f aca="false">IF(M6="Fix first",COUNTIF($M$5:M6,"Fix first"),"")</f>
        <v/>
      </c>
    </row>
    <row r="7" customFormat="false" ht="15" hidden="false" customHeight="false" outlineLevel="0" collapsed="false">
      <c r="A7" s="6" t="n">
        <v>3</v>
      </c>
      <c r="B7" s="12" t="s">
        <v>303</v>
      </c>
      <c r="C7" s="9" t="n">
        <v>0.1</v>
      </c>
      <c r="D7" s="12" t="s">
        <v>50</v>
      </c>
      <c r="E7" s="12" t="s">
        <v>58</v>
      </c>
      <c r="F7" s="12"/>
      <c r="G7" s="17" t="n">
        <f aca="false">IF(D7="","",IFERROR(INDEX(Settings!$B$4:$B$9,MATCH(D7,Settings!$A$4:$A$9,0)),""))</f>
        <v>0.2</v>
      </c>
      <c r="H7" s="17" t="n">
        <f aca="false">IF(E7="","",IFERROR(INDEX(Settings!$B$12:$B$14,MATCH(E7,Settings!$A$12:$A$14,0)),""))</f>
        <v>0.8</v>
      </c>
      <c r="I7" s="18" t="n">
        <f aca="false">IF(OR(C7="",G7="",H7=""),"",C7*G7*H7)</f>
        <v>0.016</v>
      </c>
      <c r="J7" s="19" t="n">
        <f aca="false">IF(I7="","",Profile!$C$4*I7*Questionnaire!$C$27*12)</f>
        <v>30240</v>
      </c>
      <c r="K7" s="6" t="str">
        <f aca="false">IF(D7="","",IF(LEFT(D7,13)="Informational","Knowledge",IF(LEFT(D7,13)="Transactional","Integration","People")))</f>
        <v>People</v>
      </c>
      <c r="L7" s="20" t="n">
        <f aca="false">IF(K7="","",MIN(INDEX(Readiness!$B$5:$B$9,MATCH(K7,Readiness!$A$5:$A$9,0)),Readiness!$B$8))</f>
        <v>3</v>
      </c>
      <c r="M7" s="6" t="str">
        <f aca="false">IF(I7="","",IF(G7=0,"Regulated, stays human",IF(AND(I7&gt;0,RANK(I7,$I$5:$I$24,0)&lt;=Settings!$B$26),IF(L7&gt;=Settings!$B$27,"Phase 1","Fix first"),IF(L7&gt;=Settings!$B$27,"Later","Leave with humans"))))</f>
        <v>Later</v>
      </c>
      <c r="N7" s="21" t="n">
        <f aca="false">IF(OR(C7="",D7=""),0,IF(LEFT(D7,13)="Informational",C7,0))</f>
        <v>0</v>
      </c>
      <c r="O7" s="21" t="n">
        <f aca="false">IF(OR(C7="",D7=""),0,IF(LEFT(D7,13)="Transactional",C7,0))</f>
        <v>0</v>
      </c>
      <c r="P7" s="22" t="str">
        <f aca="false">IF(M7="Phase 1",COUNTIF($M$5:M7,"Phase 1"),"")</f>
        <v/>
      </c>
      <c r="Q7" s="22" t="str">
        <f aca="false">IF(M7="Fix first",COUNTIF($M$5:M7,"Fix first"),"")</f>
        <v/>
      </c>
    </row>
    <row r="8" customFormat="false" ht="15" hidden="false" customHeight="false" outlineLevel="0" collapsed="false">
      <c r="A8" s="6" t="n">
        <v>4</v>
      </c>
      <c r="B8" s="12" t="s">
        <v>304</v>
      </c>
      <c r="C8" s="9" t="n">
        <v>0.06</v>
      </c>
      <c r="D8" s="12" t="s">
        <v>45</v>
      </c>
      <c r="E8" s="12" t="s">
        <v>58</v>
      </c>
      <c r="F8" s="12" t="s">
        <v>305</v>
      </c>
      <c r="G8" s="17" t="n">
        <f aca="false">IF(D8="","",IFERROR(INDEX(Settings!$B$4:$B$9,MATCH(D8,Settings!$A$4:$A$9,0)),""))</f>
        <v>0.5</v>
      </c>
      <c r="H8" s="17" t="n">
        <f aca="false">IF(E8="","",IFERROR(INDEX(Settings!$B$12:$B$14,MATCH(E8,Settings!$A$12:$A$14,0)),""))</f>
        <v>0.8</v>
      </c>
      <c r="I8" s="18" t="n">
        <f aca="false">IF(OR(C8="",G8="",H8=""),"",C8*G8*H8)</f>
        <v>0.024</v>
      </c>
      <c r="J8" s="19" t="n">
        <f aca="false">IF(I8="","",Profile!$C$4*I8*Questionnaire!$C$27*12)</f>
        <v>45360</v>
      </c>
      <c r="K8" s="6" t="str">
        <f aca="false">IF(D8="","",IF(LEFT(D8,13)="Informational","Knowledge",IF(LEFT(D8,13)="Transactional","Integration","People")))</f>
        <v>Integration</v>
      </c>
      <c r="L8" s="20" t="n">
        <f aca="false">IF(K8="","",MIN(INDEX(Readiness!$B$5:$B$9,MATCH(K8,Readiness!$A$5:$A$9,0)),Readiness!$B$8))</f>
        <v>3</v>
      </c>
      <c r="M8" s="6" t="str">
        <f aca="false">IF(I8="","",IF(G8=0,"Regulated, stays human",IF(AND(I8&gt;0,RANK(I8,$I$5:$I$24,0)&lt;=Settings!$B$26),IF(L8&gt;=Settings!$B$27,"Phase 1","Fix first"),IF(L8&gt;=Settings!$B$27,"Later","Leave with humans"))))</f>
        <v>Later</v>
      </c>
      <c r="N8" s="21" t="n">
        <f aca="false">IF(OR(C8="",D8=""),0,IF(LEFT(D8,13)="Informational",C8,0))</f>
        <v>0</v>
      </c>
      <c r="O8" s="21" t="n">
        <f aca="false">IF(OR(C8="",D8=""),0,IF(LEFT(D8,13)="Transactional",C8,0))</f>
        <v>0.06</v>
      </c>
      <c r="P8" s="22" t="str">
        <f aca="false">IF(M8="Phase 1",COUNTIF($M$5:M8,"Phase 1"),"")</f>
        <v/>
      </c>
      <c r="Q8" s="22" t="str">
        <f aca="false">IF(M8="Fix first",COUNTIF($M$5:M8,"Fix first"),"")</f>
        <v/>
      </c>
    </row>
    <row r="9" customFormat="false" ht="15" hidden="false" customHeight="false" outlineLevel="0" collapsed="false">
      <c r="A9" s="6" t="n">
        <v>5</v>
      </c>
      <c r="B9" s="12" t="s">
        <v>306</v>
      </c>
      <c r="C9" s="9" t="n">
        <v>0.05</v>
      </c>
      <c r="D9" s="12" t="s">
        <v>39</v>
      </c>
      <c r="E9" s="12" t="s">
        <v>57</v>
      </c>
      <c r="F9" s="12" t="s">
        <v>307</v>
      </c>
      <c r="G9" s="17" t="n">
        <f aca="false">IF(D9="","",IFERROR(INDEX(Settings!$B$4:$B$9,MATCH(D9,Settings!$A$4:$A$9,0)),""))</f>
        <v>0.9</v>
      </c>
      <c r="H9" s="17" t="n">
        <f aca="false">IF(E9="","",IFERROR(INDEX(Settings!$B$12:$B$14,MATCH(E9,Settings!$A$12:$A$14,0)),""))</f>
        <v>1</v>
      </c>
      <c r="I9" s="18" t="n">
        <f aca="false">IF(OR(C9="",G9="",H9=""),"",C9*G9*H9)</f>
        <v>0.045</v>
      </c>
      <c r="J9" s="19" t="n">
        <f aca="false">IF(I9="","",Profile!$C$4*I9*Questionnaire!$C$27*12)</f>
        <v>85050</v>
      </c>
      <c r="K9" s="6" t="str">
        <f aca="false">IF(D9="","",IF(LEFT(D9,13)="Informational","Knowledge",IF(LEFT(D9,13)="Transactional","Integration","People")))</f>
        <v>Integration</v>
      </c>
      <c r="L9" s="20" t="n">
        <f aca="false">IF(K9="","",MIN(INDEX(Readiness!$B$5:$B$9,MATCH(K9,Readiness!$A$5:$A$9,0)),Readiness!$B$8))</f>
        <v>3</v>
      </c>
      <c r="M9" s="6" t="str">
        <f aca="false">IF(I9="","",IF(G9=0,"Regulated, stays human",IF(AND(I9&gt;0,RANK(I9,$I$5:$I$24,0)&lt;=Settings!$B$26),IF(L9&gt;=Settings!$B$27,"Phase 1","Fix first"),IF(L9&gt;=Settings!$B$27,"Later","Leave with humans"))))</f>
        <v>Phase 1</v>
      </c>
      <c r="N9" s="21" t="n">
        <f aca="false">IF(OR(C9="",D9=""),0,IF(LEFT(D9,13)="Informational",C9,0))</f>
        <v>0</v>
      </c>
      <c r="O9" s="21" t="n">
        <f aca="false">IF(OR(C9="",D9=""),0,IF(LEFT(D9,13)="Transactional",C9,0))</f>
        <v>0.05</v>
      </c>
      <c r="P9" s="22" t="n">
        <f aca="false">IF(M9="Phase 1",COUNTIF($M$5:M9,"Phase 1"),"")</f>
        <v>3</v>
      </c>
      <c r="Q9" s="22" t="str">
        <f aca="false">IF(M9="Fix first",COUNTIF($M$5:M9,"Fix first"),"")</f>
        <v/>
      </c>
    </row>
    <row r="10" customFormat="false" ht="23.85" hidden="false" customHeight="false" outlineLevel="0" collapsed="false">
      <c r="A10" s="6" t="n">
        <v>6</v>
      </c>
      <c r="B10" s="12" t="s">
        <v>308</v>
      </c>
      <c r="C10" s="9" t="n">
        <v>0.06</v>
      </c>
      <c r="D10" s="12" t="s">
        <v>54</v>
      </c>
      <c r="E10" s="12" t="s">
        <v>59</v>
      </c>
      <c r="F10" s="12" t="s">
        <v>309</v>
      </c>
      <c r="G10" s="17" t="n">
        <f aca="false">IF(D10="","",IFERROR(INDEX(Settings!$B$4:$B$9,MATCH(D10,Settings!$A$4:$A$9,0)),""))</f>
        <v>0</v>
      </c>
      <c r="H10" s="17" t="n">
        <f aca="false">IF(E10="","",IFERROR(INDEX(Settings!$B$12:$B$14,MATCH(E10,Settings!$A$12:$A$14,0)),""))</f>
        <v>0.5</v>
      </c>
      <c r="I10" s="18" t="n">
        <f aca="false">IF(OR(C10="",G10="",H10=""),"",C10*G10*H10)</f>
        <v>0</v>
      </c>
      <c r="J10" s="19" t="n">
        <f aca="false">IF(I10="","",Profile!$C$4*I10*Questionnaire!$C$27*12)</f>
        <v>0</v>
      </c>
      <c r="K10" s="6" t="str">
        <f aca="false">IF(D10="","",IF(LEFT(D10,13)="Informational","Knowledge",IF(LEFT(D10,13)="Transactional","Integration","People")))</f>
        <v>People</v>
      </c>
      <c r="L10" s="20" t="n">
        <f aca="false">IF(K10="","",MIN(INDEX(Readiness!$B$5:$B$9,MATCH(K10,Readiness!$A$5:$A$9,0)),Readiness!$B$8))</f>
        <v>3</v>
      </c>
      <c r="M10" s="6" t="str">
        <f aca="false">IF(I10="","",IF(G10=0,"Regulated, stays human",IF(AND(I10&gt;0,RANK(I10,$I$5:$I$24,0)&lt;=Settings!$B$26),IF(L10&gt;=Settings!$B$27,"Phase 1","Fix first"),IF(L10&gt;=Settings!$B$27,"Later","Leave with humans"))))</f>
        <v>Regulated, stays human</v>
      </c>
      <c r="N10" s="21" t="n">
        <f aca="false">IF(OR(C10="",D10=""),0,IF(LEFT(D10,13)="Informational",C10,0))</f>
        <v>0</v>
      </c>
      <c r="O10" s="21" t="n">
        <f aca="false">IF(OR(C10="",D10=""),0,IF(LEFT(D10,13)="Transactional",C10,0))</f>
        <v>0</v>
      </c>
      <c r="P10" s="22" t="str">
        <f aca="false">IF(M10="Phase 1",COUNTIF($M$5:M10,"Phase 1"),"")</f>
        <v/>
      </c>
      <c r="Q10" s="22" t="str">
        <f aca="false">IF(M10="Fix first",COUNTIF($M$5:M10,"Fix first"),"")</f>
        <v/>
      </c>
    </row>
    <row r="11" customFormat="false" ht="15" hidden="false" customHeight="false" outlineLevel="0" collapsed="false">
      <c r="A11" s="6" t="n">
        <v>7</v>
      </c>
      <c r="B11" s="12" t="s">
        <v>310</v>
      </c>
      <c r="C11" s="9" t="n">
        <v>0.04</v>
      </c>
      <c r="D11" s="12" t="s">
        <v>39</v>
      </c>
      <c r="E11" s="12" t="s">
        <v>57</v>
      </c>
      <c r="F11" s="12" t="s">
        <v>300</v>
      </c>
      <c r="G11" s="17" t="n">
        <f aca="false">IF(D11="","",IFERROR(INDEX(Settings!$B$4:$B$9,MATCH(D11,Settings!$A$4:$A$9,0)),""))</f>
        <v>0.9</v>
      </c>
      <c r="H11" s="17" t="n">
        <f aca="false">IF(E11="","",IFERROR(INDEX(Settings!$B$12:$B$14,MATCH(E11,Settings!$A$12:$A$14,0)),""))</f>
        <v>1</v>
      </c>
      <c r="I11" s="18" t="n">
        <f aca="false">IF(OR(C11="",G11="",H11=""),"",C11*G11*H11)</f>
        <v>0.036</v>
      </c>
      <c r="J11" s="19" t="n">
        <f aca="false">IF(I11="","",Profile!$C$4*I11*Questionnaire!$C$27*12)</f>
        <v>68040</v>
      </c>
      <c r="K11" s="6" t="str">
        <f aca="false">IF(D11="","",IF(LEFT(D11,13)="Informational","Knowledge",IF(LEFT(D11,13)="Transactional","Integration","People")))</f>
        <v>Integration</v>
      </c>
      <c r="L11" s="20" t="n">
        <f aca="false">IF(K11="","",MIN(INDEX(Readiness!$B$5:$B$9,MATCH(K11,Readiness!$A$5:$A$9,0)),Readiness!$B$8))</f>
        <v>3</v>
      </c>
      <c r="M11" s="6" t="str">
        <f aca="false">IF(I11="","",IF(G11=0,"Regulated, stays human",IF(AND(I11&gt;0,RANK(I11,$I$5:$I$24,0)&lt;=Settings!$B$26),IF(L11&gt;=Settings!$B$27,"Phase 1","Fix first"),IF(L11&gt;=Settings!$B$27,"Later","Leave with humans"))))</f>
        <v>Later</v>
      </c>
      <c r="N11" s="21" t="n">
        <f aca="false">IF(OR(C11="",D11=""),0,IF(LEFT(D11,13)="Informational",C11,0))</f>
        <v>0</v>
      </c>
      <c r="O11" s="21" t="n">
        <f aca="false">IF(OR(C11="",D11=""),0,IF(LEFT(D11,13)="Transactional",C11,0))</f>
        <v>0.04</v>
      </c>
      <c r="P11" s="22" t="str">
        <f aca="false">IF(M11="Phase 1",COUNTIF($M$5:M11,"Phase 1"),"")</f>
        <v/>
      </c>
      <c r="Q11" s="22" t="str">
        <f aca="false">IF(M11="Fix first",COUNTIF($M$5:M11,"Fix first"),"")</f>
        <v/>
      </c>
    </row>
    <row r="12" customFormat="false" ht="15" hidden="false" customHeight="false" outlineLevel="0" collapsed="false">
      <c r="A12" s="6" t="n">
        <v>8</v>
      </c>
      <c r="B12" s="12" t="s">
        <v>311</v>
      </c>
      <c r="C12" s="9" t="n">
        <v>0.05</v>
      </c>
      <c r="D12" s="12" t="s">
        <v>45</v>
      </c>
      <c r="E12" s="12" t="s">
        <v>58</v>
      </c>
      <c r="F12" s="12" t="s">
        <v>312</v>
      </c>
      <c r="G12" s="17" t="n">
        <f aca="false">IF(D12="","",IFERROR(INDEX(Settings!$B$4:$B$9,MATCH(D12,Settings!$A$4:$A$9,0)),""))</f>
        <v>0.5</v>
      </c>
      <c r="H12" s="17" t="n">
        <f aca="false">IF(E12="","",IFERROR(INDEX(Settings!$B$12:$B$14,MATCH(E12,Settings!$A$12:$A$14,0)),""))</f>
        <v>0.8</v>
      </c>
      <c r="I12" s="18" t="n">
        <f aca="false">IF(OR(C12="",G12="",H12=""),"",C12*G12*H12)</f>
        <v>0.02</v>
      </c>
      <c r="J12" s="19" t="n">
        <f aca="false">IF(I12="","",Profile!$C$4*I12*Questionnaire!$C$27*12)</f>
        <v>37800</v>
      </c>
      <c r="K12" s="6" t="str">
        <f aca="false">IF(D12="","",IF(LEFT(D12,13)="Informational","Knowledge",IF(LEFT(D12,13)="Transactional","Integration","People")))</f>
        <v>Integration</v>
      </c>
      <c r="L12" s="20" t="n">
        <f aca="false">IF(K12="","",MIN(INDEX(Readiness!$B$5:$B$9,MATCH(K12,Readiness!$A$5:$A$9,0)),Readiness!$B$8))</f>
        <v>3</v>
      </c>
      <c r="M12" s="6" t="str">
        <f aca="false">IF(I12="","",IF(G12=0,"Regulated, stays human",IF(AND(I12&gt;0,RANK(I12,$I$5:$I$24,0)&lt;=Settings!$B$26),IF(L12&gt;=Settings!$B$27,"Phase 1","Fix first"),IF(L12&gt;=Settings!$B$27,"Later","Leave with humans"))))</f>
        <v>Later</v>
      </c>
      <c r="N12" s="21" t="n">
        <f aca="false">IF(OR(C12="",D12=""),0,IF(LEFT(D12,13)="Informational",C12,0))</f>
        <v>0</v>
      </c>
      <c r="O12" s="21" t="n">
        <f aca="false">IF(OR(C12="",D12=""),0,IF(LEFT(D12,13)="Transactional",C12,0))</f>
        <v>0.05</v>
      </c>
      <c r="P12" s="22" t="str">
        <f aca="false">IF(M12="Phase 1",COUNTIF($M$5:M12,"Phase 1"),"")</f>
        <v/>
      </c>
      <c r="Q12" s="22" t="str">
        <f aca="false">IF(M12="Fix first",COUNTIF($M$5:M12,"Fix first"),"")</f>
        <v/>
      </c>
    </row>
    <row r="13" customFormat="false" ht="15" hidden="false" customHeight="false" outlineLevel="0" collapsed="false">
      <c r="A13" s="6" t="n">
        <v>9</v>
      </c>
      <c r="B13" s="12" t="s">
        <v>313</v>
      </c>
      <c r="C13" s="9" t="n">
        <v>0.04</v>
      </c>
      <c r="D13" s="12" t="s">
        <v>22</v>
      </c>
      <c r="E13" s="12" t="s">
        <v>57</v>
      </c>
      <c r="F13" s="12"/>
      <c r="G13" s="17" t="n">
        <f aca="false">IF(D13="","",IFERROR(INDEX(Settings!$B$4:$B$9,MATCH(D13,Settings!$A$4:$A$9,0)),""))</f>
        <v>1</v>
      </c>
      <c r="H13" s="17" t="n">
        <f aca="false">IF(E13="","",IFERROR(INDEX(Settings!$B$12:$B$14,MATCH(E13,Settings!$A$12:$A$14,0)),""))</f>
        <v>1</v>
      </c>
      <c r="I13" s="18" t="n">
        <f aca="false">IF(OR(C13="",G13="",H13=""),"",C13*G13*H13)</f>
        <v>0.04</v>
      </c>
      <c r="J13" s="19" t="n">
        <f aca="false">IF(I13="","",Profile!$C$4*I13*Questionnaire!$C$27*12)</f>
        <v>75600</v>
      </c>
      <c r="K13" s="6" t="str">
        <f aca="false">IF(D13="","",IF(LEFT(D13,13)="Informational","Knowledge",IF(LEFT(D13,13)="Transactional","Integration","People")))</f>
        <v>Knowledge</v>
      </c>
      <c r="L13" s="20" t="n">
        <f aca="false">IF(K13="","",MIN(INDEX(Readiness!$B$5:$B$9,MATCH(K13,Readiness!$A$5:$A$9,0)),Readiness!$B$8))</f>
        <v>2</v>
      </c>
      <c r="M13" s="6" t="str">
        <f aca="false">IF(I13="","",IF(G13=0,"Regulated, stays human",IF(AND(I13&gt;0,RANK(I13,$I$5:$I$24,0)&lt;=Settings!$B$26),IF(L13&gt;=Settings!$B$27,"Phase 1","Fix first"),IF(L13&gt;=Settings!$B$27,"Later","Leave with humans"))))</f>
        <v>Fix first</v>
      </c>
      <c r="N13" s="21" t="n">
        <f aca="false">IF(OR(C13="",D13=""),0,IF(LEFT(D13,13)="Informational",C13,0))</f>
        <v>0.04</v>
      </c>
      <c r="O13" s="21" t="n">
        <f aca="false">IF(OR(C13="",D13=""),0,IF(LEFT(D13,13)="Transactional",C13,0))</f>
        <v>0</v>
      </c>
      <c r="P13" s="22" t="str">
        <f aca="false">IF(M13="Phase 1",COUNTIF($M$5:M13,"Phase 1"),"")</f>
        <v/>
      </c>
      <c r="Q13" s="22" t="n">
        <f aca="false">IF(M13="Fix first",COUNTIF($M$5:M13,"Fix first"),"")</f>
        <v>1</v>
      </c>
    </row>
    <row r="14" customFormat="false" ht="23.85" hidden="false" customHeight="false" outlineLevel="0" collapsed="false">
      <c r="A14" s="6" t="n">
        <v>10</v>
      </c>
      <c r="B14" s="12" t="s">
        <v>314</v>
      </c>
      <c r="C14" s="9" t="n">
        <v>0.03</v>
      </c>
      <c r="D14" s="12" t="s">
        <v>54</v>
      </c>
      <c r="E14" s="12" t="s">
        <v>59</v>
      </c>
      <c r="F14" s="12" t="s">
        <v>315</v>
      </c>
      <c r="G14" s="17" t="n">
        <f aca="false">IF(D14="","",IFERROR(INDEX(Settings!$B$4:$B$9,MATCH(D14,Settings!$A$4:$A$9,0)),""))</f>
        <v>0</v>
      </c>
      <c r="H14" s="17" t="n">
        <f aca="false">IF(E14="","",IFERROR(INDEX(Settings!$B$12:$B$14,MATCH(E14,Settings!$A$12:$A$14,0)),""))</f>
        <v>0.5</v>
      </c>
      <c r="I14" s="18" t="n">
        <f aca="false">IF(OR(C14="",G14="",H14=""),"",C14*G14*H14)</f>
        <v>0</v>
      </c>
      <c r="J14" s="19" t="n">
        <f aca="false">IF(I14="","",Profile!$C$4*I14*Questionnaire!$C$27*12)</f>
        <v>0</v>
      </c>
      <c r="K14" s="6" t="str">
        <f aca="false">IF(D14="","",IF(LEFT(D14,13)="Informational","Knowledge",IF(LEFT(D14,13)="Transactional","Integration","People")))</f>
        <v>People</v>
      </c>
      <c r="L14" s="20" t="n">
        <f aca="false">IF(K14="","",MIN(INDEX(Readiness!$B$5:$B$9,MATCH(K14,Readiness!$A$5:$A$9,0)),Readiness!$B$8))</f>
        <v>3</v>
      </c>
      <c r="M14" s="6" t="str">
        <f aca="false">IF(I14="","",IF(G14=0,"Regulated, stays human",IF(AND(I14&gt;0,RANK(I14,$I$5:$I$24,0)&lt;=Settings!$B$26),IF(L14&gt;=Settings!$B$27,"Phase 1","Fix first"),IF(L14&gt;=Settings!$B$27,"Later","Leave with humans"))))</f>
        <v>Regulated, stays human</v>
      </c>
      <c r="N14" s="21" t="n">
        <f aca="false">IF(OR(C14="",D14=""),0,IF(LEFT(D14,13)="Informational",C14,0))</f>
        <v>0</v>
      </c>
      <c r="O14" s="21" t="n">
        <f aca="false">IF(OR(C14="",D14=""),0,IF(LEFT(D14,13)="Transactional",C14,0))</f>
        <v>0</v>
      </c>
      <c r="P14" s="22" t="str">
        <f aca="false">IF(M14="Phase 1",COUNTIF($M$5:M14,"Phase 1"),"")</f>
        <v/>
      </c>
      <c r="Q14" s="22" t="str">
        <f aca="false">IF(M14="Fix first",COUNTIF($M$5:M14,"Fix first"),"")</f>
        <v/>
      </c>
    </row>
    <row r="15" customFormat="false" ht="15" hidden="false" customHeight="false" outlineLevel="0" collapsed="false">
      <c r="A15" s="6" t="n">
        <v>11</v>
      </c>
      <c r="B15" s="12" t="s">
        <v>316</v>
      </c>
      <c r="C15" s="9" t="n">
        <v>0.03</v>
      </c>
      <c r="D15" s="12" t="s">
        <v>45</v>
      </c>
      <c r="E15" s="12" t="s">
        <v>58</v>
      </c>
      <c r="F15" s="12" t="s">
        <v>317</v>
      </c>
      <c r="G15" s="17" t="n">
        <f aca="false">IF(D15="","",IFERROR(INDEX(Settings!$B$4:$B$9,MATCH(D15,Settings!$A$4:$A$9,0)),""))</f>
        <v>0.5</v>
      </c>
      <c r="H15" s="17" t="n">
        <f aca="false">IF(E15="","",IFERROR(INDEX(Settings!$B$12:$B$14,MATCH(E15,Settings!$A$12:$A$14,0)),""))</f>
        <v>0.8</v>
      </c>
      <c r="I15" s="18" t="n">
        <f aca="false">IF(OR(C15="",G15="",H15=""),"",C15*G15*H15)</f>
        <v>0.012</v>
      </c>
      <c r="J15" s="19" t="n">
        <f aca="false">IF(I15="","",Profile!$C$4*I15*Questionnaire!$C$27*12)</f>
        <v>22680</v>
      </c>
      <c r="K15" s="6" t="str">
        <f aca="false">IF(D15="","",IF(LEFT(D15,13)="Informational","Knowledge",IF(LEFT(D15,13)="Transactional","Integration","People")))</f>
        <v>Integration</v>
      </c>
      <c r="L15" s="20" t="n">
        <f aca="false">IF(K15="","",MIN(INDEX(Readiness!$B$5:$B$9,MATCH(K15,Readiness!$A$5:$A$9,0)),Readiness!$B$8))</f>
        <v>3</v>
      </c>
      <c r="M15" s="6" t="str">
        <f aca="false">IF(I15="","",IF(G15=0,"Regulated, stays human",IF(AND(I15&gt;0,RANK(I15,$I$5:$I$24,0)&lt;=Settings!$B$26),IF(L15&gt;=Settings!$B$27,"Phase 1","Fix first"),IF(L15&gt;=Settings!$B$27,"Later","Leave with humans"))))</f>
        <v>Later</v>
      </c>
      <c r="N15" s="21" t="n">
        <f aca="false">IF(OR(C15="",D15=""),0,IF(LEFT(D15,13)="Informational",C15,0))</f>
        <v>0</v>
      </c>
      <c r="O15" s="21" t="n">
        <f aca="false">IF(OR(C15="",D15=""),0,IF(LEFT(D15,13)="Transactional",C15,0))</f>
        <v>0.03</v>
      </c>
      <c r="P15" s="22" t="str">
        <f aca="false">IF(M15="Phase 1",COUNTIF($M$5:M15,"Phase 1"),"")</f>
        <v/>
      </c>
      <c r="Q15" s="22" t="str">
        <f aca="false">IF(M15="Fix first",COUNTIF($M$5:M15,"Fix first"),"")</f>
        <v/>
      </c>
    </row>
    <row r="16" customFormat="false" ht="15" hidden="false" customHeight="false" outlineLevel="0" collapsed="false">
      <c r="A16" s="6" t="n">
        <v>12</v>
      </c>
      <c r="B16" s="12" t="s">
        <v>318</v>
      </c>
      <c r="C16" s="9" t="n">
        <v>0.04</v>
      </c>
      <c r="D16" s="12" t="s">
        <v>50</v>
      </c>
      <c r="E16" s="12" t="s">
        <v>59</v>
      </c>
      <c r="F16" s="12"/>
      <c r="G16" s="17" t="n">
        <f aca="false">IF(D16="","",IFERROR(INDEX(Settings!$B$4:$B$9,MATCH(D16,Settings!$A$4:$A$9,0)),""))</f>
        <v>0.2</v>
      </c>
      <c r="H16" s="17" t="n">
        <f aca="false">IF(E16="","",IFERROR(INDEX(Settings!$B$12:$B$14,MATCH(E16,Settings!$A$12:$A$14,0)),""))</f>
        <v>0.5</v>
      </c>
      <c r="I16" s="18" t="n">
        <f aca="false">IF(OR(C16="",G16="",H16=""),"",C16*G16*H16)</f>
        <v>0.004</v>
      </c>
      <c r="J16" s="19" t="n">
        <f aca="false">IF(I16="","",Profile!$C$4*I16*Questionnaire!$C$27*12)</f>
        <v>7560</v>
      </c>
      <c r="K16" s="6" t="str">
        <f aca="false">IF(D16="","",IF(LEFT(D16,13)="Informational","Knowledge",IF(LEFT(D16,13)="Transactional","Integration","People")))</f>
        <v>People</v>
      </c>
      <c r="L16" s="20" t="n">
        <f aca="false">IF(K16="","",MIN(INDEX(Readiness!$B$5:$B$9,MATCH(K16,Readiness!$A$5:$A$9,0)),Readiness!$B$8))</f>
        <v>3</v>
      </c>
      <c r="M16" s="6" t="str">
        <f aca="false">IF(I16="","",IF(G16=0,"Regulated, stays human",IF(AND(I16&gt;0,RANK(I16,$I$5:$I$24,0)&lt;=Settings!$B$26),IF(L16&gt;=Settings!$B$27,"Phase 1","Fix first"),IF(L16&gt;=Settings!$B$27,"Later","Leave with humans"))))</f>
        <v>Later</v>
      </c>
      <c r="N16" s="21" t="n">
        <f aca="false">IF(OR(C16="",D16=""),0,IF(LEFT(D16,13)="Informational",C16,0))</f>
        <v>0</v>
      </c>
      <c r="O16" s="21" t="n">
        <f aca="false">IF(OR(C16="",D16=""),0,IF(LEFT(D16,13)="Transactional",C16,0))</f>
        <v>0</v>
      </c>
      <c r="P16" s="22" t="str">
        <f aca="false">IF(M16="Phase 1",COUNTIF($M$5:M16,"Phase 1"),"")</f>
        <v/>
      </c>
      <c r="Q16" s="22" t="str">
        <f aca="false">IF(M16="Fix first",COUNTIF($M$5:M16,"Fix first"),"")</f>
        <v/>
      </c>
    </row>
    <row r="17" customFormat="false" ht="23.85" hidden="false" customHeight="false" outlineLevel="0" collapsed="false">
      <c r="A17" s="6" t="n">
        <v>13</v>
      </c>
      <c r="B17" s="12" t="s">
        <v>319</v>
      </c>
      <c r="C17" s="9" t="n">
        <v>0.02</v>
      </c>
      <c r="D17" s="12" t="s">
        <v>22</v>
      </c>
      <c r="E17" s="12" t="s">
        <v>57</v>
      </c>
      <c r="F17" s="12"/>
      <c r="G17" s="17" t="n">
        <f aca="false">IF(D17="","",IFERROR(INDEX(Settings!$B$4:$B$9,MATCH(D17,Settings!$A$4:$A$9,0)),""))</f>
        <v>1</v>
      </c>
      <c r="H17" s="17" t="n">
        <f aca="false">IF(E17="","",IFERROR(INDEX(Settings!$B$12:$B$14,MATCH(E17,Settings!$A$12:$A$14,0)),""))</f>
        <v>1</v>
      </c>
      <c r="I17" s="18" t="n">
        <f aca="false">IF(OR(C17="",G17="",H17=""),"",C17*G17*H17)</f>
        <v>0.02</v>
      </c>
      <c r="J17" s="19" t="n">
        <f aca="false">IF(I17="","",Profile!$C$4*I17*Questionnaire!$C$27*12)</f>
        <v>37800</v>
      </c>
      <c r="K17" s="6" t="str">
        <f aca="false">IF(D17="","",IF(LEFT(D17,13)="Informational","Knowledge",IF(LEFT(D17,13)="Transactional","Integration","People")))</f>
        <v>Knowledge</v>
      </c>
      <c r="L17" s="20" t="n">
        <f aca="false">IF(K17="","",MIN(INDEX(Readiness!$B$5:$B$9,MATCH(K17,Readiness!$A$5:$A$9,0)),Readiness!$B$8))</f>
        <v>2</v>
      </c>
      <c r="M17" s="6" t="str">
        <f aca="false">IF(I17="","",IF(G17=0,"Regulated, stays human",IF(AND(I17&gt;0,RANK(I17,$I$5:$I$24,0)&lt;=Settings!$B$26),IF(L17&gt;=Settings!$B$27,"Phase 1","Fix first"),IF(L17&gt;=Settings!$B$27,"Later","Leave with humans"))))</f>
        <v>Leave with humans</v>
      </c>
      <c r="N17" s="21" t="n">
        <f aca="false">IF(OR(C17="",D17=""),0,IF(LEFT(D17,13)="Informational",C17,0))</f>
        <v>0.02</v>
      </c>
      <c r="O17" s="21" t="n">
        <f aca="false">IF(OR(C17="",D17=""),0,IF(LEFT(D17,13)="Transactional",C17,0))</f>
        <v>0</v>
      </c>
      <c r="P17" s="22" t="str">
        <f aca="false">IF(M17="Phase 1",COUNTIF($M$5:M17,"Phase 1"),"")</f>
        <v/>
      </c>
      <c r="Q17" s="22" t="str">
        <f aca="false">IF(M17="Fix first",COUNTIF($M$5:M17,"Fix first"),"")</f>
        <v/>
      </c>
    </row>
    <row r="18" customFormat="false" ht="15" hidden="false" customHeight="false" outlineLevel="0" collapsed="false">
      <c r="A18" s="6" t="n">
        <v>14</v>
      </c>
      <c r="B18" s="12" t="s">
        <v>320</v>
      </c>
      <c r="C18" s="9" t="n">
        <v>0.05</v>
      </c>
      <c r="D18" s="12" t="s">
        <v>39</v>
      </c>
      <c r="E18" s="12" t="s">
        <v>57</v>
      </c>
      <c r="F18" s="12" t="s">
        <v>300</v>
      </c>
      <c r="G18" s="17" t="n">
        <f aca="false">IF(D18="","",IFERROR(INDEX(Settings!$B$4:$B$9,MATCH(D18,Settings!$A$4:$A$9,0)),""))</f>
        <v>0.9</v>
      </c>
      <c r="H18" s="17" t="n">
        <f aca="false">IF(E18="","",IFERROR(INDEX(Settings!$B$12:$B$14,MATCH(E18,Settings!$A$12:$A$14,0)),""))</f>
        <v>1</v>
      </c>
      <c r="I18" s="18" t="n">
        <f aca="false">IF(OR(C18="",G18="",H18=""),"",C18*G18*H18)</f>
        <v>0.045</v>
      </c>
      <c r="J18" s="19" t="n">
        <f aca="false">IF(I18="","",Profile!$C$4*I18*Questionnaire!$C$27*12)</f>
        <v>85050</v>
      </c>
      <c r="K18" s="6" t="str">
        <f aca="false">IF(D18="","",IF(LEFT(D18,13)="Informational","Knowledge",IF(LEFT(D18,13)="Transactional","Integration","People")))</f>
        <v>Integration</v>
      </c>
      <c r="L18" s="20" t="n">
        <f aca="false">IF(K18="","",MIN(INDEX(Readiness!$B$5:$B$9,MATCH(K18,Readiness!$A$5:$A$9,0)),Readiness!$B$8))</f>
        <v>3</v>
      </c>
      <c r="M18" s="6" t="str">
        <f aca="false">IF(I18="","",IF(G18=0,"Regulated, stays human",IF(AND(I18&gt;0,RANK(I18,$I$5:$I$24,0)&lt;=Settings!$B$26),IF(L18&gt;=Settings!$B$27,"Phase 1","Fix first"),IF(L18&gt;=Settings!$B$27,"Later","Leave with humans"))))</f>
        <v>Phase 1</v>
      </c>
      <c r="N18" s="21" t="n">
        <f aca="false">IF(OR(C18="",D18=""),0,IF(LEFT(D18,13)="Informational",C18,0))</f>
        <v>0</v>
      </c>
      <c r="O18" s="21" t="n">
        <f aca="false">IF(OR(C18="",D18=""),0,IF(LEFT(D18,13)="Transactional",C18,0))</f>
        <v>0.05</v>
      </c>
      <c r="P18" s="22" t="n">
        <f aca="false">IF(M18="Phase 1",COUNTIF($M$5:M18,"Phase 1"),"")</f>
        <v>4</v>
      </c>
      <c r="Q18" s="22" t="str">
        <f aca="false">IF(M18="Fix first",COUNTIF($M$5:M18,"Fix first"),"")</f>
        <v/>
      </c>
    </row>
    <row r="19" customFormat="false" ht="15" hidden="false" customHeight="false" outlineLevel="0" collapsed="false">
      <c r="A19" s="6" t="n">
        <v>15</v>
      </c>
      <c r="B19" s="12" t="s">
        <v>321</v>
      </c>
      <c r="C19" s="9" t="n">
        <v>0.03</v>
      </c>
      <c r="D19" s="12" t="s">
        <v>50</v>
      </c>
      <c r="E19" s="12" t="s">
        <v>58</v>
      </c>
      <c r="F19" s="12"/>
      <c r="G19" s="17" t="n">
        <f aca="false">IF(D19="","",IFERROR(INDEX(Settings!$B$4:$B$9,MATCH(D19,Settings!$A$4:$A$9,0)),""))</f>
        <v>0.2</v>
      </c>
      <c r="H19" s="17" t="n">
        <f aca="false">IF(E19="","",IFERROR(INDEX(Settings!$B$12:$B$14,MATCH(E19,Settings!$A$12:$A$14,0)),""))</f>
        <v>0.8</v>
      </c>
      <c r="I19" s="18" t="n">
        <f aca="false">IF(OR(C19="",G19="",H19=""),"",C19*G19*H19)</f>
        <v>0.0048</v>
      </c>
      <c r="J19" s="19" t="n">
        <f aca="false">IF(I19="","",Profile!$C$4*I19*Questionnaire!$C$27*12)</f>
        <v>9072</v>
      </c>
      <c r="K19" s="6" t="str">
        <f aca="false">IF(D19="","",IF(LEFT(D19,13)="Informational","Knowledge",IF(LEFT(D19,13)="Transactional","Integration","People")))</f>
        <v>People</v>
      </c>
      <c r="L19" s="20" t="n">
        <f aca="false">IF(K19="","",MIN(INDEX(Readiness!$B$5:$B$9,MATCH(K19,Readiness!$A$5:$A$9,0)),Readiness!$B$8))</f>
        <v>3</v>
      </c>
      <c r="M19" s="6" t="str">
        <f aca="false">IF(I19="","",IF(G19=0,"Regulated, stays human",IF(AND(I19&gt;0,RANK(I19,$I$5:$I$24,0)&lt;=Settings!$B$26),IF(L19&gt;=Settings!$B$27,"Phase 1","Fix first"),IF(L19&gt;=Settings!$B$27,"Later","Leave with humans"))))</f>
        <v>Later</v>
      </c>
      <c r="N19" s="21" t="n">
        <f aca="false">IF(OR(C19="",D19=""),0,IF(LEFT(D19,13)="Informational",C19,0))</f>
        <v>0</v>
      </c>
      <c r="O19" s="21" t="n">
        <f aca="false">IF(OR(C19="",D19=""),0,IF(LEFT(D19,13)="Transactional",C19,0))</f>
        <v>0</v>
      </c>
      <c r="P19" s="22" t="str">
        <f aca="false">IF(M19="Phase 1",COUNTIF($M$5:M19,"Phase 1"),"")</f>
        <v/>
      </c>
      <c r="Q19" s="22" t="str">
        <f aca="false">IF(M19="Fix first",COUNTIF($M$5:M19,"Fix first"),"")</f>
        <v/>
      </c>
    </row>
    <row r="20" customFormat="false" ht="23.85" hidden="false" customHeight="false" outlineLevel="0" collapsed="false">
      <c r="A20" s="6" t="n">
        <v>16</v>
      </c>
      <c r="B20" s="12" t="s">
        <v>322</v>
      </c>
      <c r="C20" s="9" t="n">
        <v>0.02</v>
      </c>
      <c r="D20" s="12" t="s">
        <v>54</v>
      </c>
      <c r="E20" s="12" t="s">
        <v>59</v>
      </c>
      <c r="F20" s="12" t="s">
        <v>323</v>
      </c>
      <c r="G20" s="17" t="n">
        <f aca="false">IF(D20="","",IFERROR(INDEX(Settings!$B$4:$B$9,MATCH(D20,Settings!$A$4:$A$9,0)),""))</f>
        <v>0</v>
      </c>
      <c r="H20" s="17" t="n">
        <f aca="false">IF(E20="","",IFERROR(INDEX(Settings!$B$12:$B$14,MATCH(E20,Settings!$A$12:$A$14,0)),""))</f>
        <v>0.5</v>
      </c>
      <c r="I20" s="18" t="n">
        <f aca="false">IF(OR(C20="",G20="",H20=""),"",C20*G20*H20)</f>
        <v>0</v>
      </c>
      <c r="J20" s="19" t="n">
        <f aca="false">IF(I20="","",Profile!$C$4*I20*Questionnaire!$C$27*12)</f>
        <v>0</v>
      </c>
      <c r="K20" s="6" t="str">
        <f aca="false">IF(D20="","",IF(LEFT(D20,13)="Informational","Knowledge",IF(LEFT(D20,13)="Transactional","Integration","People")))</f>
        <v>People</v>
      </c>
      <c r="L20" s="20" t="n">
        <f aca="false">IF(K20="","",MIN(INDEX(Readiness!$B$5:$B$9,MATCH(K20,Readiness!$A$5:$A$9,0)),Readiness!$B$8))</f>
        <v>3</v>
      </c>
      <c r="M20" s="6" t="str">
        <f aca="false">IF(I20="","",IF(G20=0,"Regulated, stays human",IF(AND(I20&gt;0,RANK(I20,$I$5:$I$24,0)&lt;=Settings!$B$26),IF(L20&gt;=Settings!$B$27,"Phase 1","Fix first"),IF(L20&gt;=Settings!$B$27,"Later","Leave with humans"))))</f>
        <v>Regulated, stays human</v>
      </c>
      <c r="N20" s="21" t="n">
        <f aca="false">IF(OR(C20="",D20=""),0,IF(LEFT(D20,13)="Informational",C20,0))</f>
        <v>0</v>
      </c>
      <c r="O20" s="21" t="n">
        <f aca="false">IF(OR(C20="",D20=""),0,IF(LEFT(D20,13)="Transactional",C20,0))</f>
        <v>0</v>
      </c>
      <c r="P20" s="22" t="str">
        <f aca="false">IF(M20="Phase 1",COUNTIF($M$5:M20,"Phase 1"),"")</f>
        <v/>
      </c>
      <c r="Q20" s="22" t="str">
        <f aca="false">IF(M20="Fix first",COUNTIF($M$5:M20,"Fix first"),"")</f>
        <v/>
      </c>
    </row>
    <row r="21" customFormat="false" ht="23.85" hidden="false" customHeight="false" outlineLevel="0" collapsed="false">
      <c r="A21" s="6" t="n">
        <v>17</v>
      </c>
      <c r="B21" s="12" t="s">
        <v>324</v>
      </c>
      <c r="C21" s="9" t="n">
        <v>0.03</v>
      </c>
      <c r="D21" s="12" t="s">
        <v>30</v>
      </c>
      <c r="E21" s="12" t="s">
        <v>57</v>
      </c>
      <c r="F21" s="12"/>
      <c r="G21" s="17" t="n">
        <f aca="false">IF(D21="","",IFERROR(INDEX(Settings!$B$4:$B$9,MATCH(D21,Settings!$A$4:$A$9,0)),""))</f>
        <v>0.8</v>
      </c>
      <c r="H21" s="17" t="n">
        <f aca="false">IF(E21="","",IFERROR(INDEX(Settings!$B$12:$B$14,MATCH(E21,Settings!$A$12:$A$14,0)),""))</f>
        <v>1</v>
      </c>
      <c r="I21" s="18" t="n">
        <f aca="false">IF(OR(C21="",G21="",H21=""),"",C21*G21*H21)</f>
        <v>0.024</v>
      </c>
      <c r="J21" s="19" t="n">
        <f aca="false">IF(I21="","",Profile!$C$4*I21*Questionnaire!$C$27*12)</f>
        <v>45360</v>
      </c>
      <c r="K21" s="6" t="str">
        <f aca="false">IF(D21="","",IF(LEFT(D21,13)="Informational","Knowledge",IF(LEFT(D21,13)="Transactional","Integration","People")))</f>
        <v>Knowledge</v>
      </c>
      <c r="L21" s="20" t="n">
        <f aca="false">IF(K21="","",MIN(INDEX(Readiness!$B$5:$B$9,MATCH(K21,Readiness!$A$5:$A$9,0)),Readiness!$B$8))</f>
        <v>2</v>
      </c>
      <c r="M21" s="6" t="str">
        <f aca="false">IF(I21="","",IF(G21=0,"Regulated, stays human",IF(AND(I21&gt;0,RANK(I21,$I$5:$I$24,0)&lt;=Settings!$B$26),IF(L21&gt;=Settings!$B$27,"Phase 1","Fix first"),IF(L21&gt;=Settings!$B$27,"Later","Leave with humans"))))</f>
        <v>Leave with humans</v>
      </c>
      <c r="N21" s="21" t="n">
        <f aca="false">IF(OR(C21="",D21=""),0,IF(LEFT(D21,13)="Informational",C21,0))</f>
        <v>0.03</v>
      </c>
      <c r="O21" s="21" t="n">
        <f aca="false">IF(OR(C21="",D21=""),0,IF(LEFT(D21,13)="Transactional",C21,0))</f>
        <v>0</v>
      </c>
      <c r="P21" s="22" t="str">
        <f aca="false">IF(M21="Phase 1",COUNTIF($M$5:M21,"Phase 1"),"")</f>
        <v/>
      </c>
      <c r="Q21" s="22" t="str">
        <f aca="false">IF(M21="Fix first",COUNTIF($M$5:M21,"Fix first"),"")</f>
        <v/>
      </c>
    </row>
    <row r="22" customFormat="false" ht="23.85" hidden="false" customHeight="false" outlineLevel="0" collapsed="false">
      <c r="A22" s="6" t="n">
        <v>18</v>
      </c>
      <c r="B22" s="12" t="s">
        <v>325</v>
      </c>
      <c r="C22" s="9" t="n">
        <v>0.02</v>
      </c>
      <c r="D22" s="12" t="s">
        <v>30</v>
      </c>
      <c r="E22" s="12" t="s">
        <v>57</v>
      </c>
      <c r="F22" s="12"/>
      <c r="G22" s="17" t="n">
        <f aca="false">IF(D22="","",IFERROR(INDEX(Settings!$B$4:$B$9,MATCH(D22,Settings!$A$4:$A$9,0)),""))</f>
        <v>0.8</v>
      </c>
      <c r="H22" s="17" t="n">
        <f aca="false">IF(E22="","",IFERROR(INDEX(Settings!$B$12:$B$14,MATCH(E22,Settings!$A$12:$A$14,0)),""))</f>
        <v>1</v>
      </c>
      <c r="I22" s="18" t="n">
        <f aca="false">IF(OR(C22="",G22="",H22=""),"",C22*G22*H22)</f>
        <v>0.016</v>
      </c>
      <c r="J22" s="19" t="n">
        <f aca="false">IF(I22="","",Profile!$C$4*I22*Questionnaire!$C$27*12)</f>
        <v>30240</v>
      </c>
      <c r="K22" s="6" t="str">
        <f aca="false">IF(D22="","",IF(LEFT(D22,13)="Informational","Knowledge",IF(LEFT(D22,13)="Transactional","Integration","People")))</f>
        <v>Knowledge</v>
      </c>
      <c r="L22" s="20" t="n">
        <f aca="false">IF(K22="","",MIN(INDEX(Readiness!$B$5:$B$9,MATCH(K22,Readiness!$A$5:$A$9,0)),Readiness!$B$8))</f>
        <v>2</v>
      </c>
      <c r="M22" s="6" t="str">
        <f aca="false">IF(I22="","",IF(G22=0,"Regulated, stays human",IF(AND(I22&gt;0,RANK(I22,$I$5:$I$24,0)&lt;=Settings!$B$26),IF(L22&gt;=Settings!$B$27,"Phase 1","Fix first"),IF(L22&gt;=Settings!$B$27,"Later","Leave with humans"))))</f>
        <v>Leave with humans</v>
      </c>
      <c r="N22" s="21" t="n">
        <f aca="false">IF(OR(C22="",D22=""),0,IF(LEFT(D22,13)="Informational",C22,0))</f>
        <v>0.02</v>
      </c>
      <c r="O22" s="21" t="n">
        <f aca="false">IF(OR(C22="",D22=""),0,IF(LEFT(D22,13)="Transactional",C22,0))</f>
        <v>0</v>
      </c>
      <c r="P22" s="22" t="str">
        <f aca="false">IF(M22="Phase 1",COUNTIF($M$5:M22,"Phase 1"),"")</f>
        <v/>
      </c>
      <c r="Q22" s="22" t="str">
        <f aca="false">IF(M22="Fix first",COUNTIF($M$5:M22,"Fix first"),"")</f>
        <v/>
      </c>
    </row>
    <row r="23" customFormat="false" ht="23.85" hidden="false" customHeight="false" outlineLevel="0" collapsed="false">
      <c r="A23" s="6" t="n">
        <v>19</v>
      </c>
      <c r="B23" s="12" t="s">
        <v>326</v>
      </c>
      <c r="C23" s="9" t="n">
        <v>0.03</v>
      </c>
      <c r="D23" s="12" t="s">
        <v>22</v>
      </c>
      <c r="E23" s="12" t="s">
        <v>58</v>
      </c>
      <c r="F23" s="12"/>
      <c r="G23" s="17" t="n">
        <f aca="false">IF(D23="","",IFERROR(INDEX(Settings!$B$4:$B$9,MATCH(D23,Settings!$A$4:$A$9,0)),""))</f>
        <v>1</v>
      </c>
      <c r="H23" s="17" t="n">
        <f aca="false">IF(E23="","",IFERROR(INDEX(Settings!$B$12:$B$14,MATCH(E23,Settings!$A$12:$A$14,0)),""))</f>
        <v>0.8</v>
      </c>
      <c r="I23" s="18" t="n">
        <f aca="false">IF(OR(C23="",G23="",H23=""),"",C23*G23*H23)</f>
        <v>0.024</v>
      </c>
      <c r="J23" s="19" t="n">
        <f aca="false">IF(I23="","",Profile!$C$4*I23*Questionnaire!$C$27*12)</f>
        <v>45360</v>
      </c>
      <c r="K23" s="6" t="str">
        <f aca="false">IF(D23="","",IF(LEFT(D23,13)="Informational","Knowledge",IF(LEFT(D23,13)="Transactional","Integration","People")))</f>
        <v>Knowledge</v>
      </c>
      <c r="L23" s="20" t="n">
        <f aca="false">IF(K23="","",MIN(INDEX(Readiness!$B$5:$B$9,MATCH(K23,Readiness!$A$5:$A$9,0)),Readiness!$B$8))</f>
        <v>2</v>
      </c>
      <c r="M23" s="6" t="str">
        <f aca="false">IF(I23="","",IF(G23=0,"Regulated, stays human",IF(AND(I23&gt;0,RANK(I23,$I$5:$I$24,0)&lt;=Settings!$B$26),IF(L23&gt;=Settings!$B$27,"Phase 1","Fix first"),IF(L23&gt;=Settings!$B$27,"Later","Leave with humans"))))</f>
        <v>Leave with humans</v>
      </c>
      <c r="N23" s="21" t="n">
        <f aca="false">IF(OR(C23="",D23=""),0,IF(LEFT(D23,13)="Informational",C23,0))</f>
        <v>0.03</v>
      </c>
      <c r="O23" s="21" t="n">
        <f aca="false">IF(OR(C23="",D23=""),0,IF(LEFT(D23,13)="Transactional",C23,0))</f>
        <v>0</v>
      </c>
      <c r="P23" s="22" t="str">
        <f aca="false">IF(M23="Phase 1",COUNTIF($M$5:M23,"Phase 1"),"")</f>
        <v/>
      </c>
      <c r="Q23" s="22" t="str">
        <f aca="false">IF(M23="Fix first",COUNTIF($M$5:M23,"Fix first"),"")</f>
        <v/>
      </c>
    </row>
    <row r="24" customFormat="false" ht="15" hidden="false" customHeight="false" outlineLevel="0" collapsed="false">
      <c r="A24" s="6" t="n">
        <v>20</v>
      </c>
      <c r="B24" s="12" t="s">
        <v>327</v>
      </c>
      <c r="C24" s="9" t="n">
        <v>0.03</v>
      </c>
      <c r="D24" s="12" t="s">
        <v>39</v>
      </c>
      <c r="E24" s="12" t="s">
        <v>58</v>
      </c>
      <c r="F24" s="12" t="s">
        <v>300</v>
      </c>
      <c r="G24" s="17" t="n">
        <f aca="false">IF(D24="","",IFERROR(INDEX(Settings!$B$4:$B$9,MATCH(D24,Settings!$A$4:$A$9,0)),""))</f>
        <v>0.9</v>
      </c>
      <c r="H24" s="17" t="n">
        <f aca="false">IF(E24="","",IFERROR(INDEX(Settings!$B$12:$B$14,MATCH(E24,Settings!$A$12:$A$14,0)),""))</f>
        <v>0.8</v>
      </c>
      <c r="I24" s="18" t="n">
        <f aca="false">IF(OR(C24="",G24="",H24=""),"",C24*G24*H24)</f>
        <v>0.0216</v>
      </c>
      <c r="J24" s="19" t="n">
        <f aca="false">IF(I24="","",Profile!$C$4*I24*Questionnaire!$C$27*12)</f>
        <v>40824</v>
      </c>
      <c r="K24" s="6" t="str">
        <f aca="false">IF(D24="","",IF(LEFT(D24,13)="Informational","Knowledge",IF(LEFT(D24,13)="Transactional","Integration","People")))</f>
        <v>Integration</v>
      </c>
      <c r="L24" s="20" t="n">
        <f aca="false">IF(K24="","",MIN(INDEX(Readiness!$B$5:$B$9,MATCH(K24,Readiness!$A$5:$A$9,0)),Readiness!$B$8))</f>
        <v>3</v>
      </c>
      <c r="M24" s="6" t="str">
        <f aca="false">IF(I24="","",IF(G24=0,"Regulated, stays human",IF(AND(I24&gt;0,RANK(I24,$I$5:$I$24,0)&lt;=Settings!$B$26),IF(L24&gt;=Settings!$B$27,"Phase 1","Fix first"),IF(L24&gt;=Settings!$B$27,"Later","Leave with humans"))))</f>
        <v>Later</v>
      </c>
      <c r="N24" s="21" t="n">
        <f aca="false">IF(OR(C24="",D24=""),0,IF(LEFT(D24,13)="Informational",C24,0))</f>
        <v>0</v>
      </c>
      <c r="O24" s="21" t="n">
        <f aca="false">IF(OR(C24="",D24=""),0,IF(LEFT(D24,13)="Transactional",C24,0))</f>
        <v>0.03</v>
      </c>
      <c r="P24" s="22" t="str">
        <f aca="false">IF(M24="Phase 1",COUNTIF($M$5:M24,"Phase 1"),"")</f>
        <v/>
      </c>
      <c r="Q24" s="22" t="str">
        <f aca="false">IF(M24="Fix first",COUNTIF($M$5:M24,"Fix first"),"")</f>
        <v/>
      </c>
    </row>
    <row r="25" customFormat="false" ht="15" hidden="false" customHeight="false" outlineLevel="0" collapsed="false">
      <c r="B25" s="11" t="s">
        <v>328</v>
      </c>
      <c r="C25" s="23" t="n">
        <f aca="false">SUM(C5:C24)</f>
        <v>0.93</v>
      </c>
      <c r="I25" s="24" t="n">
        <f aca="false">SUM(I5:I24)</f>
        <v>0.5162</v>
      </c>
      <c r="J25" s="25" t="n">
        <f aca="false">SUM(J5:J24)</f>
        <v>975618</v>
      </c>
      <c r="N25" s="23" t="n">
        <f aca="false">SUM(N5:N24)</f>
        <v>0.14</v>
      </c>
      <c r="O25" s="23" t="n">
        <f aca="false">SUM(O5:O24)</f>
        <v>0.51</v>
      </c>
    </row>
  </sheetData>
  <dataValidations count="2">
    <dataValidation allowBlank="true" errorStyle="stop" operator="between" showDropDown="false" showErrorMessage="false" showInputMessage="false" sqref="D5:D24" type="list">
      <formula1>Settings!$A$4:$A$9</formula1>
      <formula2>0</formula2>
    </dataValidation>
    <dataValidation allowBlank="true" errorStyle="stop" operator="between" showDropDown="false" showErrorMessage="false" showInputMessage="false" sqref="E5:E24" type="list">
      <formula1>Settings!$A$12:$A$14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3" t="s">
        <v>330</v>
      </c>
    </row>
    <row r="3" customFormat="false" ht="15" hidden="false" customHeight="false" outlineLevel="0" collapsed="false">
      <c r="A3" s="4" t="s">
        <v>331</v>
      </c>
      <c r="B3" s="4" t="s">
        <v>332</v>
      </c>
      <c r="C3" s="4" t="s">
        <v>61</v>
      </c>
    </row>
    <row r="4" customFormat="false" ht="15" hidden="false" customHeight="false" outlineLevel="0" collapsed="false">
      <c r="A4" s="11" t="s">
        <v>333</v>
      </c>
      <c r="B4" s="6" t="s">
        <v>334</v>
      </c>
      <c r="C4" s="26" t="n">
        <f aca="false">SUM(Questionnaire!$C$8,Questionnaire!$C$9,Questionnaire!$C$10,Questionnaire!$C$11,Questionnaire!$C$12,Questionnaire!$C$13)</f>
        <v>35000</v>
      </c>
    </row>
    <row r="5" customFormat="false" ht="15" hidden="false" customHeight="false" outlineLevel="0" collapsed="false">
      <c r="A5" s="11" t="s">
        <v>335</v>
      </c>
      <c r="B5" s="6" t="s">
        <v>334</v>
      </c>
      <c r="C5" s="27" t="n">
        <f aca="false">IF(C4=0,0,Questionnaire!$C$8/C4)</f>
        <v>0.514285714285714</v>
      </c>
    </row>
    <row r="6" customFormat="false" ht="15" hidden="false" customHeight="false" outlineLevel="0" collapsed="false">
      <c r="A6" s="11" t="s">
        <v>336</v>
      </c>
      <c r="B6" s="6" t="s">
        <v>334</v>
      </c>
      <c r="C6" s="27" t="n">
        <f aca="false">IF(C4=0,0,(Questionnaire!$C$9+Questionnaire!$C$11+Questionnaire!$C$12)/C4)</f>
        <v>0.228571428571429</v>
      </c>
    </row>
    <row r="7" customFormat="false" ht="15" hidden="false" customHeight="false" outlineLevel="0" collapsed="false">
      <c r="A7" s="11" t="s">
        <v>337</v>
      </c>
      <c r="B7" s="6" t="s">
        <v>338</v>
      </c>
      <c r="C7" s="27" t="n">
        <f aca="false">Intents!$N$25</f>
        <v>0.14</v>
      </c>
    </row>
    <row r="8" customFormat="false" ht="15" hidden="false" customHeight="false" outlineLevel="0" collapsed="false">
      <c r="A8" s="11" t="s">
        <v>339</v>
      </c>
      <c r="B8" s="6" t="s">
        <v>338</v>
      </c>
      <c r="C8" s="27" t="n">
        <f aca="false">Intents!$O$25</f>
        <v>0.51</v>
      </c>
    </row>
    <row r="9" customFormat="false" ht="15" hidden="false" customHeight="false" outlineLevel="0" collapsed="false">
      <c r="A9" s="11" t="s">
        <v>340</v>
      </c>
      <c r="B9" s="6" t="s">
        <v>341</v>
      </c>
      <c r="C9" s="28" t="n">
        <f aca="false">Intents!$I$25</f>
        <v>0.5162</v>
      </c>
    </row>
    <row r="10" customFormat="false" ht="15" hidden="false" customHeight="false" outlineLevel="0" collapsed="false">
      <c r="A10" s="11" t="s">
        <v>342</v>
      </c>
      <c r="B10" s="6" t="s">
        <v>114</v>
      </c>
      <c r="C10" s="20" t="n">
        <f aca="false">Questionnaire!$C$16</f>
        <v>2</v>
      </c>
    </row>
    <row r="11" customFormat="false" ht="15" hidden="false" customHeight="false" outlineLevel="0" collapsed="false">
      <c r="A11" s="11" t="s">
        <v>343</v>
      </c>
      <c r="B11" s="6" t="s">
        <v>126</v>
      </c>
      <c r="C11" s="29" t="str">
        <f aca="false">Questionnaire!$C$19</f>
        <v>Yes</v>
      </c>
    </row>
    <row r="12" customFormat="false" ht="15" hidden="false" customHeight="false" outlineLevel="0" collapsed="false">
      <c r="A12" s="11" t="s">
        <v>344</v>
      </c>
      <c r="B12" s="6" t="s">
        <v>193</v>
      </c>
      <c r="C12" s="29" t="str">
        <f aca="false">Questionnaire!$C$47</f>
        <v>Some</v>
      </c>
    </row>
    <row r="13" customFormat="false" ht="15" hidden="false" customHeight="false" outlineLevel="0" collapsed="false">
      <c r="A13" s="11" t="s">
        <v>345</v>
      </c>
      <c r="B13" s="6" t="s">
        <v>189</v>
      </c>
      <c r="C13" s="29" t="str">
        <f aca="false">Questionnaire!$C$46</f>
        <v>CX team</v>
      </c>
    </row>
    <row r="14" customFormat="false" ht="15" hidden="false" customHeight="false" outlineLevel="0" collapsed="false">
      <c r="A14" s="11" t="s">
        <v>346</v>
      </c>
      <c r="B14" s="6" t="s">
        <v>253</v>
      </c>
      <c r="C14" s="20" t="n">
        <f aca="false">Readiness!$B$8</f>
        <v>3</v>
      </c>
    </row>
    <row r="15" customFormat="false" ht="15" hidden="false" customHeight="false" outlineLevel="0" collapsed="false">
      <c r="A15" s="11" t="s">
        <v>347</v>
      </c>
      <c r="B15" s="6" t="s">
        <v>253</v>
      </c>
      <c r="C15" s="20" t="n">
        <f aca="false">Readiness!$B$5</f>
        <v>3</v>
      </c>
    </row>
    <row r="16" customFormat="false" ht="15" hidden="false" customHeight="false" outlineLevel="0" collapsed="false">
      <c r="A16" s="11" t="s">
        <v>348</v>
      </c>
      <c r="B16" s="6" t="s">
        <v>349</v>
      </c>
      <c r="C16" s="29" t="str">
        <f aca="false">IF(OR(Questionnaire!$C$54="Yes",Questionnaire!$C$55="Yes",Questionnaire!$C$56="Yes",Questionnaire!$C$57="Yes",Questionnaire!$C$58="Yes",Questionnaire!$C$34="UK only"),"Yes","No")</f>
        <v>Yes</v>
      </c>
    </row>
    <row r="17" customFormat="false" ht="15" hidden="false" customHeight="false" outlineLevel="0" collapsed="false">
      <c r="A17" s="11" t="s">
        <v>350</v>
      </c>
      <c r="B17" s="6" t="s">
        <v>242</v>
      </c>
      <c r="C17" s="20" t="n">
        <f aca="false">IFERROR(INDEX(Settings!$B$30:$B$33,MATCH(Questionnaire!$C$67,Settings!$A$30:$A$33,0)),0)</f>
        <v>3</v>
      </c>
    </row>
    <row r="20" customFormat="false" ht="15" hidden="false" customHeight="false" outlineLevel="0" collapsed="false">
      <c r="A20" s="4" t="s">
        <v>351</v>
      </c>
      <c r="B20" s="4" t="s">
        <v>352</v>
      </c>
      <c r="C20" s="4" t="s">
        <v>353</v>
      </c>
    </row>
    <row r="21" customFormat="false" ht="15" hidden="false" customHeight="false" outlineLevel="0" collapsed="false">
      <c r="A21" s="11" t="s">
        <v>354</v>
      </c>
      <c r="B21" s="22" t="n">
        <f aca="false">IF(C5&gt;=Settings!$B$21,3,IF(C5&gt;=Settings!$B$22,1,0))</f>
        <v>3</v>
      </c>
      <c r="C21" s="6" t="s">
        <v>355</v>
      </c>
    </row>
    <row r="22" customFormat="false" ht="15" hidden="false" customHeight="false" outlineLevel="0" collapsed="false">
      <c r="A22" s="11" t="s">
        <v>356</v>
      </c>
      <c r="B22" s="22" t="n">
        <f aca="false">IF(C6&gt;=0.1,3,IF(C6&gt;0,1,0))</f>
        <v>3</v>
      </c>
      <c r="C22" s="6" t="s">
        <v>357</v>
      </c>
    </row>
    <row r="23" customFormat="false" ht="15" hidden="false" customHeight="false" outlineLevel="0" collapsed="false">
      <c r="A23" s="11" t="s">
        <v>342</v>
      </c>
      <c r="B23" s="22" t="n">
        <f aca="false">IF(C10&gt;Settings!$B$25,2,0)</f>
        <v>0</v>
      </c>
      <c r="C23" s="6" t="s">
        <v>358</v>
      </c>
    </row>
    <row r="24" customFormat="false" ht="15" hidden="false" customHeight="false" outlineLevel="0" collapsed="false">
      <c r="A24" s="11" t="s">
        <v>359</v>
      </c>
      <c r="B24" s="22" t="n">
        <f aca="false">IF(C7&gt;=Settings!$B$24,3,IF(C7&gt;=0.2,2,1))</f>
        <v>1</v>
      </c>
      <c r="C24" s="6" t="s">
        <v>360</v>
      </c>
    </row>
    <row r="25" customFormat="false" ht="15" hidden="false" customHeight="false" outlineLevel="0" collapsed="false">
      <c r="A25" s="11" t="s">
        <v>361</v>
      </c>
      <c r="B25" s="22" t="n">
        <f aca="false">IF(C8&gt;=Settings!$B$23,3,IF(C8&gt;=0.1,2,1))</f>
        <v>3</v>
      </c>
      <c r="C25" s="6" t="s">
        <v>362</v>
      </c>
    </row>
    <row r="26" customFormat="false" ht="15" hidden="false" customHeight="false" outlineLevel="0" collapsed="false">
      <c r="A26" s="11" t="s">
        <v>363</v>
      </c>
      <c r="B26" s="22" t="n">
        <f aca="false">IF(C8&gt;=Settings!$B$23,2,0)</f>
        <v>2</v>
      </c>
      <c r="C26" s="6" t="s">
        <v>364</v>
      </c>
    </row>
    <row r="27" customFormat="false" ht="15" hidden="false" customHeight="false" outlineLevel="0" collapsed="false">
      <c r="A27" s="11" t="s">
        <v>365</v>
      </c>
      <c r="B27" s="22" t="n">
        <f aca="false">IF(C11="Yes",3,0)</f>
        <v>3</v>
      </c>
      <c r="C27" s="6" t="s">
        <v>366</v>
      </c>
    </row>
    <row r="28" customFormat="false" ht="15" hidden="false" customHeight="false" outlineLevel="0" collapsed="false">
      <c r="A28" s="11" t="s">
        <v>367</v>
      </c>
      <c r="B28" s="22" t="n">
        <f aca="false">3</f>
        <v>3</v>
      </c>
      <c r="C28" s="6" t="s">
        <v>368</v>
      </c>
    </row>
    <row r="29" customFormat="false" ht="15" hidden="false" customHeight="false" outlineLevel="0" collapsed="false">
      <c r="A29" s="11" t="s">
        <v>369</v>
      </c>
      <c r="B29" s="22" t="n">
        <f aca="false">IF(C12="None",3,IF(C12="Some",1,0))</f>
        <v>1</v>
      </c>
      <c r="C29" s="6" t="s">
        <v>370</v>
      </c>
    </row>
    <row r="30" customFormat="false" ht="15" hidden="false" customHeight="false" outlineLevel="0" collapsed="false">
      <c r="A30" s="11" t="s">
        <v>371</v>
      </c>
      <c r="B30" s="22" t="n">
        <f aca="false">IF(C15&lt;=2,3,2)</f>
        <v>2</v>
      </c>
      <c r="C30" s="6" t="s">
        <v>372</v>
      </c>
    </row>
    <row r="31" customFormat="false" ht="15" hidden="false" customHeight="false" outlineLevel="0" collapsed="false">
      <c r="A31" s="11" t="s">
        <v>373</v>
      </c>
      <c r="B31" s="22" t="n">
        <f aca="false">2</f>
        <v>2</v>
      </c>
      <c r="C31" s="6" t="s">
        <v>374</v>
      </c>
    </row>
    <row r="32" customFormat="false" ht="15" hidden="false" customHeight="false" outlineLevel="0" collapsed="false">
      <c r="A32" s="11" t="s">
        <v>375</v>
      </c>
      <c r="B32" s="22" t="n">
        <f aca="false">IF(C14&lt;=2,3,1)</f>
        <v>1</v>
      </c>
      <c r="C32" s="6" t="s">
        <v>376</v>
      </c>
    </row>
    <row r="33" customFormat="false" ht="15" hidden="false" customHeight="false" outlineLevel="0" collapsed="false">
      <c r="A33" s="11" t="s">
        <v>377</v>
      </c>
      <c r="B33" s="22" t="n">
        <f aca="false">IF(C16="Yes",3,0)</f>
        <v>3</v>
      </c>
      <c r="C33" s="6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15" min="3" style="0" width="11"/>
    <col collapsed="false" customWidth="true" hidden="false" outlineLevel="0" max="21" min="16" style="0" width="13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3" t="s">
        <v>380</v>
      </c>
    </row>
    <row r="3" customFormat="false" ht="23.85" hidden="false" customHeight="false" outlineLevel="0" collapsed="false">
      <c r="B3" s="11" t="s">
        <v>381</v>
      </c>
      <c r="C3" s="20" t="n">
        <f aca="false">Profile!$B$21</f>
        <v>3</v>
      </c>
      <c r="D3" s="20" t="n">
        <f aca="false">Profile!$B$22</f>
        <v>3</v>
      </c>
      <c r="E3" s="20" t="n">
        <f aca="false">Profile!$B$23</f>
        <v>0</v>
      </c>
      <c r="F3" s="20" t="n">
        <f aca="false">Profile!$B$24</f>
        <v>1</v>
      </c>
      <c r="G3" s="20" t="n">
        <f aca="false">Profile!$B$25</f>
        <v>3</v>
      </c>
      <c r="H3" s="20" t="n">
        <f aca="false">Profile!$B$26</f>
        <v>2</v>
      </c>
      <c r="I3" s="20" t="n">
        <f aca="false">Profile!$B$27</f>
        <v>3</v>
      </c>
      <c r="J3" s="20" t="n">
        <f aca="false">Profile!$B$28</f>
        <v>3</v>
      </c>
      <c r="K3" s="20" t="n">
        <f aca="false">Profile!$B$29</f>
        <v>1</v>
      </c>
      <c r="L3" s="20" t="n">
        <f aca="false">Profile!$B$30</f>
        <v>2</v>
      </c>
      <c r="M3" s="20" t="n">
        <f aca="false">Profile!$B$31</f>
        <v>2</v>
      </c>
      <c r="N3" s="20" t="n">
        <f aca="false">Profile!$B$32</f>
        <v>1</v>
      </c>
      <c r="O3" s="20" t="n">
        <f aca="false">Profile!$B$33</f>
        <v>3</v>
      </c>
    </row>
    <row r="4" customFormat="false" ht="42" hidden="false" customHeight="true" outlineLevel="0" collapsed="false">
      <c r="A4" s="4" t="s">
        <v>382</v>
      </c>
      <c r="B4" s="4" t="s">
        <v>383</v>
      </c>
      <c r="C4" s="4" t="s">
        <v>354</v>
      </c>
      <c r="D4" s="4" t="s">
        <v>356</v>
      </c>
      <c r="E4" s="4" t="s">
        <v>342</v>
      </c>
      <c r="F4" s="4" t="s">
        <v>359</v>
      </c>
      <c r="G4" s="4" t="s">
        <v>361</v>
      </c>
      <c r="H4" s="4" t="s">
        <v>363</v>
      </c>
      <c r="I4" s="4" t="s">
        <v>365</v>
      </c>
      <c r="J4" s="4" t="s">
        <v>367</v>
      </c>
      <c r="K4" s="4" t="s">
        <v>369</v>
      </c>
      <c r="L4" s="4" t="s">
        <v>371</v>
      </c>
      <c r="M4" s="4" t="s">
        <v>373</v>
      </c>
      <c r="N4" s="4" t="s">
        <v>375</v>
      </c>
      <c r="O4" s="4" t="s">
        <v>377</v>
      </c>
      <c r="P4" s="4" t="s">
        <v>384</v>
      </c>
      <c r="Q4" s="4" t="s">
        <v>385</v>
      </c>
      <c r="R4" s="4" t="s">
        <v>386</v>
      </c>
      <c r="S4" s="4" t="s">
        <v>387</v>
      </c>
      <c r="T4" s="4" t="s">
        <v>388</v>
      </c>
      <c r="U4" s="4" t="s">
        <v>389</v>
      </c>
    </row>
    <row r="5" customFormat="false" ht="15" hidden="false" customHeight="false" outlineLevel="0" collapsed="false">
      <c r="A5" s="12" t="s">
        <v>390</v>
      </c>
      <c r="B5" s="12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22" t="n">
        <f aca="false">COUNT(C5:O5)</f>
        <v>0</v>
      </c>
      <c r="Q5" s="21" t="str">
        <f aca="false">IF(P5&lt;13,"",IF(SUM($C$3:$O$3)=0,0,SUMPRODUCT($C$3:$O$3,C5:O5)/(3*SUM($C$3:$O$3))))</f>
        <v/>
      </c>
      <c r="R5" s="22" t="str">
        <f aca="false">IF(P5&lt;13,"",SUMPRODUCT(($C$3:$O$3=0)*C5:O5))</f>
        <v/>
      </c>
      <c r="S5" s="29" t="str">
        <f aca="false">IF(B5="","",IF(Profile!$C$17=0,"No budget set",IF(IFERROR(INDEX(Settings!$B$30:$B$33,MATCH(B5,Settings!$A$30:$A$33,0)),9)&lt;=Profile!$C$17,"Yes","Over budget")))</f>
        <v/>
      </c>
      <c r="T5" s="22" t="str">
        <f aca="false">IF(U5="","",RANK(U5,$U$5:$U$14,0))</f>
        <v/>
      </c>
      <c r="U5" s="21" t="str">
        <f aca="false">IF(AND(Q5&lt;&gt;"",S5="Yes"),Q5,"")</f>
        <v/>
      </c>
    </row>
    <row r="6" customFormat="false" ht="15" hidden="false" customHeight="false" outlineLevel="0" collapsed="false">
      <c r="A6" s="12" t="s">
        <v>391</v>
      </c>
      <c r="B6" s="1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22" t="n">
        <f aca="false">COUNT(C6:O6)</f>
        <v>0</v>
      </c>
      <c r="Q6" s="21" t="str">
        <f aca="false">IF(P6&lt;13,"",IF(SUM($C$3:$O$3)=0,0,SUMPRODUCT($C$3:$O$3,C6:O6)/(3*SUM($C$3:$O$3))))</f>
        <v/>
      </c>
      <c r="R6" s="22" t="str">
        <f aca="false">IF(P6&lt;13,"",SUMPRODUCT(($C$3:$O$3=0)*C6:O6))</f>
        <v/>
      </c>
      <c r="S6" s="29" t="str">
        <f aca="false">IF(B6="","",IF(Profile!$C$17=0,"No budget set",IF(IFERROR(INDEX(Settings!$B$30:$B$33,MATCH(B6,Settings!$A$30:$A$33,0)),9)&lt;=Profile!$C$17,"Yes","Over budget")))</f>
        <v/>
      </c>
      <c r="T6" s="22" t="str">
        <f aca="false">IF(U6="","",RANK(U6,$U$5:$U$14,0))</f>
        <v/>
      </c>
      <c r="U6" s="21" t="str">
        <f aca="false">IF(AND(Q6&lt;&gt;"",S6="Yes"),Q6,"")</f>
        <v/>
      </c>
    </row>
    <row r="7" customFormat="false" ht="15" hidden="false" customHeight="false" outlineLevel="0" collapsed="false">
      <c r="A7" s="12" t="s">
        <v>392</v>
      </c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22" t="n">
        <f aca="false">COUNT(C7:O7)</f>
        <v>0</v>
      </c>
      <c r="Q7" s="21" t="str">
        <f aca="false">IF(P7&lt;13,"",IF(SUM($C$3:$O$3)=0,0,SUMPRODUCT($C$3:$O$3,C7:O7)/(3*SUM($C$3:$O$3))))</f>
        <v/>
      </c>
      <c r="R7" s="22" t="str">
        <f aca="false">IF(P7&lt;13,"",SUMPRODUCT(($C$3:$O$3=0)*C7:O7))</f>
        <v/>
      </c>
      <c r="S7" s="29" t="str">
        <f aca="false">IF(B7="","",IF(Profile!$C$17=0,"No budget set",IF(IFERROR(INDEX(Settings!$B$30:$B$33,MATCH(B7,Settings!$A$30:$A$33,0)),9)&lt;=Profile!$C$17,"Yes","Over budget")))</f>
        <v/>
      </c>
      <c r="T7" s="22" t="str">
        <f aca="false">IF(U7="","",RANK(U7,$U$5:$U$14,0))</f>
        <v/>
      </c>
      <c r="U7" s="21" t="str">
        <f aca="false">IF(AND(Q7&lt;&gt;"",S7="Yes"),Q7,"")</f>
        <v/>
      </c>
    </row>
    <row r="8" customFormat="false" ht="15" hidden="false" customHeight="false" outlineLevel="0" collapsed="false">
      <c r="A8" s="12" t="s">
        <v>393</v>
      </c>
      <c r="B8" s="1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2" t="n">
        <f aca="false">COUNT(C8:O8)</f>
        <v>0</v>
      </c>
      <c r="Q8" s="21" t="str">
        <f aca="false">IF(P8&lt;13,"",IF(SUM($C$3:$O$3)=0,0,SUMPRODUCT($C$3:$O$3,C8:O8)/(3*SUM($C$3:$O$3))))</f>
        <v/>
      </c>
      <c r="R8" s="22" t="str">
        <f aca="false">IF(P8&lt;13,"",SUMPRODUCT(($C$3:$O$3=0)*C8:O8))</f>
        <v/>
      </c>
      <c r="S8" s="29" t="str">
        <f aca="false">IF(B8="","",IF(Profile!$C$17=0,"No budget set",IF(IFERROR(INDEX(Settings!$B$30:$B$33,MATCH(B8,Settings!$A$30:$A$33,0)),9)&lt;=Profile!$C$17,"Yes","Over budget")))</f>
        <v/>
      </c>
      <c r="T8" s="22" t="str">
        <f aca="false">IF(U8="","",RANK(U8,$U$5:$U$14,0))</f>
        <v/>
      </c>
      <c r="U8" s="21" t="str">
        <f aca="false">IF(AND(Q8&lt;&gt;"",S8="Yes"),Q8,"")</f>
        <v/>
      </c>
    </row>
    <row r="9" customFormat="false" ht="15" hidden="false" customHeight="false" outlineLevel="0" collapsed="false">
      <c r="A9" s="12" t="s">
        <v>394</v>
      </c>
      <c r="B9" s="1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22" t="n">
        <f aca="false">COUNT(C9:O9)</f>
        <v>0</v>
      </c>
      <c r="Q9" s="21" t="str">
        <f aca="false">IF(P9&lt;13,"",IF(SUM($C$3:$O$3)=0,0,SUMPRODUCT($C$3:$O$3,C9:O9)/(3*SUM($C$3:$O$3))))</f>
        <v/>
      </c>
      <c r="R9" s="22" t="str">
        <f aca="false">IF(P9&lt;13,"",SUMPRODUCT(($C$3:$O$3=0)*C9:O9))</f>
        <v/>
      </c>
      <c r="S9" s="29" t="str">
        <f aca="false">IF(B9="","",IF(Profile!$C$17=0,"No budget set",IF(IFERROR(INDEX(Settings!$B$30:$B$33,MATCH(B9,Settings!$A$30:$A$33,0)),9)&lt;=Profile!$C$17,"Yes","Over budget")))</f>
        <v/>
      </c>
      <c r="T9" s="22" t="str">
        <f aca="false">IF(U9="","",RANK(U9,$U$5:$U$14,0))</f>
        <v/>
      </c>
      <c r="U9" s="21" t="str">
        <f aca="false">IF(AND(Q9&lt;&gt;"",S9="Yes"),Q9,"")</f>
        <v/>
      </c>
    </row>
    <row r="10" customFormat="false" ht="15" hidden="false" customHeight="false" outlineLevel="0" collapsed="false">
      <c r="A10" s="12" t="s">
        <v>395</v>
      </c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22" t="n">
        <f aca="false">COUNT(C10:O10)</f>
        <v>0</v>
      </c>
      <c r="Q10" s="21" t="str">
        <f aca="false">IF(P10&lt;13,"",IF(SUM($C$3:$O$3)=0,0,SUMPRODUCT($C$3:$O$3,C10:O10)/(3*SUM($C$3:$O$3))))</f>
        <v/>
      </c>
      <c r="R10" s="22" t="str">
        <f aca="false">IF(P10&lt;13,"",SUMPRODUCT(($C$3:$O$3=0)*C10:O10))</f>
        <v/>
      </c>
      <c r="S10" s="29" t="str">
        <f aca="false">IF(B10="","",IF(Profile!$C$17=0,"No budget set",IF(IFERROR(INDEX(Settings!$B$30:$B$33,MATCH(B10,Settings!$A$30:$A$33,0)),9)&lt;=Profile!$C$17,"Yes","Over budget")))</f>
        <v/>
      </c>
      <c r="T10" s="22" t="str">
        <f aca="false">IF(U10="","",RANK(U10,$U$5:$U$14,0))</f>
        <v/>
      </c>
      <c r="U10" s="21" t="str">
        <f aca="false">IF(AND(Q10&lt;&gt;"",S10="Yes"),Q10,"")</f>
        <v/>
      </c>
    </row>
    <row r="11" customFormat="false" ht="15" hidden="false" customHeight="false" outlineLevel="0" collapsed="false">
      <c r="A11" s="12" t="s">
        <v>396</v>
      </c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22" t="n">
        <f aca="false">COUNT(C11:O11)</f>
        <v>0</v>
      </c>
      <c r="Q11" s="21" t="str">
        <f aca="false">IF(P11&lt;13,"",IF(SUM($C$3:$O$3)=0,0,SUMPRODUCT($C$3:$O$3,C11:O11)/(3*SUM($C$3:$O$3))))</f>
        <v/>
      </c>
      <c r="R11" s="22" t="str">
        <f aca="false">IF(P11&lt;13,"",SUMPRODUCT(($C$3:$O$3=0)*C11:O11))</f>
        <v/>
      </c>
      <c r="S11" s="29" t="str">
        <f aca="false">IF(B11="","",IF(Profile!$C$17=0,"No budget set",IF(IFERROR(INDEX(Settings!$B$30:$B$33,MATCH(B11,Settings!$A$30:$A$33,0)),9)&lt;=Profile!$C$17,"Yes","Over budget")))</f>
        <v/>
      </c>
      <c r="T11" s="22" t="str">
        <f aca="false">IF(U11="","",RANK(U11,$U$5:$U$14,0))</f>
        <v/>
      </c>
      <c r="U11" s="21" t="str">
        <f aca="false">IF(AND(Q11&lt;&gt;"",S11="Yes"),Q11,"")</f>
        <v/>
      </c>
    </row>
    <row r="12" customFormat="false" ht="15" hidden="false" customHeight="false" outlineLevel="0" collapsed="false">
      <c r="A12" s="12" t="s">
        <v>397</v>
      </c>
      <c r="B12" s="12" t="s">
        <v>76</v>
      </c>
      <c r="C12" s="10" t="n">
        <v>3</v>
      </c>
      <c r="D12" s="10" t="n">
        <v>2</v>
      </c>
      <c r="E12" s="10" t="n">
        <v>1</v>
      </c>
      <c r="F12" s="10" t="n">
        <v>2</v>
      </c>
      <c r="G12" s="10" t="n">
        <v>2</v>
      </c>
      <c r="H12" s="10" t="n">
        <v>1</v>
      </c>
      <c r="I12" s="10" t="n">
        <v>2</v>
      </c>
      <c r="J12" s="10" t="n">
        <v>3</v>
      </c>
      <c r="K12" s="10" t="n">
        <v>2</v>
      </c>
      <c r="L12" s="10" t="n">
        <v>2</v>
      </c>
      <c r="M12" s="10" t="n">
        <v>2</v>
      </c>
      <c r="N12" s="10" t="n">
        <v>2</v>
      </c>
      <c r="O12" s="10" t="n">
        <v>3</v>
      </c>
      <c r="P12" s="22" t="n">
        <f aca="false">COUNT(C12:O12)</f>
        <v>13</v>
      </c>
      <c r="Q12" s="21" t="n">
        <f aca="false">IF(P12&lt;13,"",IF(SUM($C$3:$O$3)=0,0,SUMPRODUCT($C$3:$O$3,C12:O12)/(3*SUM($C$3:$O$3))))</f>
        <v>0.753086419753086</v>
      </c>
      <c r="R12" s="22" t="n">
        <f aca="false">IF(P12&lt;13,"",SUMPRODUCT(($C$3:$O$3=0)*C12:O12))</f>
        <v>1</v>
      </c>
      <c r="S12" s="29" t="str">
        <f aca="false">IF(B12="","",IF(Profile!$C$17=0,"No budget set",IF(IFERROR(INDEX(Settings!$B$30:$B$33,MATCH(B12,Settings!$A$30:$A$33,0)),9)&lt;=Profile!$C$17,"Yes","Over budget")))</f>
        <v>Yes</v>
      </c>
      <c r="T12" s="22" t="n">
        <f aca="false">IF(U12="","",RANK(U12,$U$5:$U$14,0))</f>
        <v>2</v>
      </c>
      <c r="U12" s="21" t="n">
        <f aca="false">IF(AND(Q12&lt;&gt;"",S12="Yes"),Q12,"")</f>
        <v>0.753086419753086</v>
      </c>
    </row>
    <row r="13" customFormat="false" ht="15" hidden="false" customHeight="false" outlineLevel="0" collapsed="false">
      <c r="A13" s="12" t="s">
        <v>398</v>
      </c>
      <c r="B13" s="12" t="s">
        <v>77</v>
      </c>
      <c r="C13" s="10" t="n">
        <v>3</v>
      </c>
      <c r="D13" s="10" t="n">
        <v>3</v>
      </c>
      <c r="E13" s="10" t="n">
        <v>3</v>
      </c>
      <c r="F13" s="10" t="n">
        <v>3</v>
      </c>
      <c r="G13" s="10" t="n">
        <v>3</v>
      </c>
      <c r="H13" s="10" t="n">
        <v>3</v>
      </c>
      <c r="I13" s="10" t="n">
        <v>3</v>
      </c>
      <c r="J13" s="10" t="n">
        <v>3</v>
      </c>
      <c r="K13" s="10" t="n">
        <v>1</v>
      </c>
      <c r="L13" s="10" t="n">
        <v>3</v>
      </c>
      <c r="M13" s="10" t="n">
        <v>1</v>
      </c>
      <c r="N13" s="10" t="n">
        <v>1</v>
      </c>
      <c r="O13" s="10" t="n">
        <v>3</v>
      </c>
      <c r="P13" s="22" t="n">
        <f aca="false">COUNT(C13:O13)</f>
        <v>13</v>
      </c>
      <c r="Q13" s="21" t="n">
        <f aca="false">IF(P13&lt;13,"",IF(SUM($C$3:$O$3)=0,0,SUMPRODUCT($C$3:$O$3,C13:O13)/(3*SUM($C$3:$O$3))))</f>
        <v>0.901234567901235</v>
      </c>
      <c r="R13" s="22" t="n">
        <f aca="false">IF(P13&lt;13,"",SUMPRODUCT(($C$3:$O$3=0)*C13:O13))</f>
        <v>3</v>
      </c>
      <c r="S13" s="29" t="str">
        <f aca="false">IF(B13="","",IF(Profile!$C$17=0,"No budget set",IF(IFERROR(INDEX(Settings!$B$30:$B$33,MATCH(B13,Settings!$A$30:$A$33,0)),9)&lt;=Profile!$C$17,"Yes","Over budget")))</f>
        <v>Yes</v>
      </c>
      <c r="T13" s="22" t="n">
        <f aca="false">IF(U13="","",RANK(U13,$U$5:$U$14,0))</f>
        <v>1</v>
      </c>
      <c r="U13" s="21" t="n">
        <f aca="false">IF(AND(Q13&lt;&gt;"",S13="Yes"),Q13,"")</f>
        <v>0.901234567901235</v>
      </c>
    </row>
    <row r="14" customFormat="false" ht="15" hidden="false" customHeight="false" outlineLevel="0" collapsed="false">
      <c r="A14" s="12" t="s">
        <v>399</v>
      </c>
      <c r="B14" s="12" t="s">
        <v>75</v>
      </c>
      <c r="C14" s="10" t="n">
        <v>0</v>
      </c>
      <c r="D14" s="10" t="n">
        <v>3</v>
      </c>
      <c r="E14" s="10" t="n">
        <v>1</v>
      </c>
      <c r="F14" s="10" t="n">
        <v>3</v>
      </c>
      <c r="G14" s="10" t="n">
        <v>1</v>
      </c>
      <c r="H14" s="10" t="n">
        <v>0</v>
      </c>
      <c r="I14" s="10" t="n">
        <v>1</v>
      </c>
      <c r="J14" s="10" t="n">
        <v>2</v>
      </c>
      <c r="K14" s="10" t="n">
        <v>3</v>
      </c>
      <c r="L14" s="10" t="n">
        <v>2</v>
      </c>
      <c r="M14" s="10" t="n">
        <v>3</v>
      </c>
      <c r="N14" s="10" t="n">
        <v>3</v>
      </c>
      <c r="O14" s="10" t="n">
        <v>2</v>
      </c>
      <c r="P14" s="22" t="n">
        <f aca="false">COUNT(C14:O14)</f>
        <v>13</v>
      </c>
      <c r="Q14" s="21" t="n">
        <f aca="false">IF(P14&lt;13,"",IF(SUM($C$3:$O$3)=0,0,SUMPRODUCT($C$3:$O$3,C14:O14)/(3*SUM($C$3:$O$3))))</f>
        <v>0.567901234567901</v>
      </c>
      <c r="R14" s="22" t="n">
        <f aca="false">IF(P14&lt;13,"",SUMPRODUCT(($C$3:$O$3=0)*C14:O14))</f>
        <v>1</v>
      </c>
      <c r="S14" s="29" t="str">
        <f aca="false">IF(B14="","",IF(Profile!$C$17=0,"No budget set",IF(IFERROR(INDEX(Settings!$B$30:$B$33,MATCH(B14,Settings!$A$30:$A$33,0)),9)&lt;=Profile!$C$17,"Yes","Over budget")))</f>
        <v>Yes</v>
      </c>
      <c r="T14" s="22" t="n">
        <f aca="false">IF(U14="","",RANK(U14,$U$5:$U$14,0))</f>
        <v>3</v>
      </c>
      <c r="U14" s="21" t="n">
        <f aca="false">IF(AND(Q14&lt;&gt;"",S14="Yes"),Q14,"")</f>
        <v>0.567901234567901</v>
      </c>
    </row>
  </sheetData>
  <dataValidations count="2">
    <dataValidation allowBlank="true" errorStyle="stop" operator="between" showDropDown="false" showErrorMessage="false" showInputMessage="false" sqref="C5:O14" type="whole">
      <formula1>0</formula1>
      <formula2>3</formula2>
    </dataValidation>
    <dataValidation allowBlank="true" errorStyle="stop" operator="between" showDropDown="false" showErrorMessage="false" showInputMessage="false" sqref="B5:B14" type="list">
      <formula1>Settings!$A$30:$A$33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400</v>
      </c>
    </row>
    <row r="2" customFormat="false" ht="23.85" hidden="false" customHeight="false" outlineLevel="0" collapsed="false">
      <c r="A2" s="11" t="s">
        <v>81</v>
      </c>
      <c r="B2" s="29" t="str">
        <f aca="false">Questionnaire!$C$3</f>
        <v>Example Energy Co (illustrative)</v>
      </c>
    </row>
    <row r="3" customFormat="false" ht="15" hidden="false" customHeight="false" outlineLevel="0" collapsed="false">
      <c r="A3" s="11" t="s">
        <v>401</v>
      </c>
      <c r="B3" s="29" t="str">
        <f aca="false">Questionnaire!$C$4</f>
        <v>2026-10-05</v>
      </c>
    </row>
    <row r="5" customFormat="false" ht="15" hidden="false" customHeight="false" outlineLevel="0" collapsed="false">
      <c r="A5" s="4" t="s">
        <v>402</v>
      </c>
      <c r="B5" s="4" t="s">
        <v>61</v>
      </c>
    </row>
    <row r="6" customFormat="false" ht="15" hidden="false" customHeight="false" outlineLevel="0" collapsed="false">
      <c r="A6" s="11" t="s">
        <v>340</v>
      </c>
      <c r="B6" s="30" t="n">
        <f aca="false">Intents!$I$25</f>
        <v>0.5162</v>
      </c>
    </row>
    <row r="7" customFormat="false" ht="15" hidden="false" customHeight="false" outlineLevel="0" collapsed="false">
      <c r="A7" s="11" t="s">
        <v>337</v>
      </c>
      <c r="B7" s="27" t="n">
        <f aca="false">Profile!$C$7</f>
        <v>0.14</v>
      </c>
    </row>
    <row r="8" customFormat="false" ht="15" hidden="false" customHeight="false" outlineLevel="0" collapsed="false">
      <c r="A8" s="11" t="s">
        <v>339</v>
      </c>
      <c r="B8" s="27" t="n">
        <f aca="false">Profile!$C$8</f>
        <v>0.51</v>
      </c>
    </row>
    <row r="9" customFormat="false" ht="15" hidden="false" customHeight="false" outlineLevel="0" collapsed="false">
      <c r="A9" s="11" t="s">
        <v>335</v>
      </c>
      <c r="B9" s="27" t="n">
        <f aca="false">Profile!$C$5</f>
        <v>0.514285714285714</v>
      </c>
    </row>
    <row r="10" customFormat="false" ht="15" hidden="false" customHeight="false" outlineLevel="0" collapsed="false">
      <c r="A10" s="11" t="s">
        <v>403</v>
      </c>
      <c r="B10" s="31" t="n">
        <f aca="false">Intents!$J$25</f>
        <v>975618</v>
      </c>
    </row>
    <row r="11" customFormat="false" ht="15" hidden="false" customHeight="false" outlineLevel="0" collapsed="false">
      <c r="A11" s="11" t="s">
        <v>404</v>
      </c>
      <c r="B11" s="17" t="n">
        <f aca="false">Readiness!$B$12</f>
        <v>3</v>
      </c>
    </row>
    <row r="12" customFormat="false" ht="15" hidden="false" customHeight="false" outlineLevel="0" collapsed="false">
      <c r="A12" s="11" t="s">
        <v>280</v>
      </c>
      <c r="B12" s="29" t="str">
        <f aca="false">Readiness!$B$11</f>
        <v>Open</v>
      </c>
    </row>
    <row r="13" customFormat="false" ht="31.5" hidden="false" customHeight="true" outlineLevel="0" collapsed="false">
      <c r="A13" s="11" t="s">
        <v>405</v>
      </c>
      <c r="B13" s="32" t="str">
        <f aca="false">IF(Readiness!$B$8&lt;=1,"No platform yet. Name an owner first.",IF(B6&lt;Settings!$B$17,"No platform. Fix the help centre and the top three processes.",IF(B6&lt;Settings!$B$18,IF(B8&gt;=Settings!$B$20,"Platform with integration tooling. Phase 1 is two intents that already have APIs.","Knowledge-led bot on a lighter platform, or the ticketing vendor's own AI."),IF(B9&gt;=Settings!$B$19,"Full platform, voice-capable first, chat second.","Full platform. Voice only if the voice share earns it."))))</f>
        <v>Full platform, voice-capable first, chat second.</v>
      </c>
      <c r="C13" s="32"/>
      <c r="D13" s="32"/>
    </row>
    <row r="15" customFormat="false" ht="15" hidden="false" customHeight="false" outlineLevel="0" collapsed="false">
      <c r="A15" s="4" t="s">
        <v>406</v>
      </c>
      <c r="B15" s="4" t="s">
        <v>285</v>
      </c>
      <c r="C15" s="4" t="s">
        <v>291</v>
      </c>
      <c r="D15" s="4" t="s">
        <v>292</v>
      </c>
    </row>
    <row r="16" customFormat="false" ht="15" hidden="false" customHeight="false" outlineLevel="0" collapsed="false">
      <c r="A16" s="29" t="str">
        <f aca="false">IFERROR(INDEX(Intents!$B$5:$B$24,MATCH(1,Intents!$P$5:$P$24,0)),"")</f>
        <v>Submit a meter reading</v>
      </c>
      <c r="B16" s="27" t="n">
        <f aca="false">IFERROR(INDEX(Intents!$C$5:$C$24,MATCH(1,Intents!$P$5:$P$24,0)),"")</f>
        <v>0.11</v>
      </c>
      <c r="C16" s="31" t="n">
        <f aca="false">IFERROR(INDEX(Intents!$J$5:$J$24,MATCH(1,Intents!$P$5:$P$24,0)),"")</f>
        <v>187110</v>
      </c>
      <c r="D16" s="29" t="str">
        <f aca="false">IFERROR(INDEX(Intents!$K$5:$K$24,MATCH(1,Intents!$P$5:$P$24,0)),"")</f>
        <v>Integration</v>
      </c>
    </row>
    <row r="17" customFormat="false" ht="15" hidden="false" customHeight="false" outlineLevel="0" collapsed="false">
      <c r="A17" s="29" t="str">
        <f aca="false">IFERROR(INDEX(Intents!$B$5:$B$24,MATCH(2,Intents!$P$5:$P$24,0)),"")</f>
        <v>Make a payment</v>
      </c>
      <c r="B17" s="27" t="n">
        <f aca="false">IFERROR(INDEX(Intents!$C$5:$C$24,MATCH(2,Intents!$P$5:$P$24,0)),"")</f>
        <v>0.09</v>
      </c>
      <c r="C17" s="31" t="n">
        <f aca="false">IFERROR(INDEX(Intents!$J$5:$J$24,MATCH(2,Intents!$P$5:$P$24,0)),"")</f>
        <v>122472</v>
      </c>
      <c r="D17" s="29" t="str">
        <f aca="false">IFERROR(INDEX(Intents!$K$5:$K$24,MATCH(2,Intents!$P$5:$P$24,0)),"")</f>
        <v>Integration</v>
      </c>
    </row>
    <row r="18" customFormat="false" ht="15" hidden="false" customHeight="false" outlineLevel="0" collapsed="false">
      <c r="A18" s="29" t="str">
        <f aca="false">IFERROR(INDEX(Intents!$B$5:$B$24,MATCH(3,Intents!$P$5:$P$24,0)),"")</f>
        <v>Update contact details</v>
      </c>
      <c r="B18" s="27" t="n">
        <f aca="false">IFERROR(INDEX(Intents!$C$5:$C$24,MATCH(3,Intents!$P$5:$P$24,0)),"")</f>
        <v>0.05</v>
      </c>
      <c r="C18" s="31" t="n">
        <f aca="false">IFERROR(INDEX(Intents!$J$5:$J$24,MATCH(3,Intents!$P$5:$P$24,0)),"")</f>
        <v>85050</v>
      </c>
      <c r="D18" s="29" t="str">
        <f aca="false">IFERROR(INDEX(Intents!$K$5:$K$24,MATCH(3,Intents!$P$5:$P$24,0)),"")</f>
        <v>Integration</v>
      </c>
    </row>
    <row r="19" customFormat="false" ht="15" hidden="false" customHeight="false" outlineLevel="0" collapsed="false">
      <c r="A19" s="29" t="str">
        <f aca="false">IFERROR(INDEX(Intents!$B$5:$B$24,MATCH(4,Intents!$P$5:$P$24,0)),"")</f>
        <v>Account balance</v>
      </c>
      <c r="B19" s="27" t="n">
        <f aca="false">IFERROR(INDEX(Intents!$C$5:$C$24,MATCH(4,Intents!$P$5:$P$24,0)),"")</f>
        <v>0.05</v>
      </c>
      <c r="C19" s="31" t="n">
        <f aca="false">IFERROR(INDEX(Intents!$J$5:$J$24,MATCH(4,Intents!$P$5:$P$24,0)),"")</f>
        <v>85050</v>
      </c>
      <c r="D19" s="29" t="str">
        <f aca="false">IFERROR(INDEX(Intents!$K$5:$K$24,MATCH(4,Intents!$P$5:$P$24,0)),"")</f>
        <v>Integration</v>
      </c>
    </row>
    <row r="20" customFormat="false" ht="15" hidden="false" customHeight="false" outlineLevel="0" collapsed="false">
      <c r="A20" s="29" t="str">
        <f aca="false">IFERROR(INDEX(Intents!$B$5:$B$24,MATCH(5,Intents!$P$5:$P$24,0)),"")</f>
        <v/>
      </c>
      <c r="B20" s="27" t="str">
        <f aca="false">IFERROR(INDEX(Intents!$C$5:$C$24,MATCH(5,Intents!$P$5:$P$24,0)),"")</f>
        <v/>
      </c>
      <c r="C20" s="31" t="str">
        <f aca="false">IFERROR(INDEX(Intents!$J$5:$J$24,MATCH(5,Intents!$P$5:$P$24,0)),"")</f>
        <v/>
      </c>
      <c r="D20" s="29" t="str">
        <f aca="false">IFERROR(INDEX(Intents!$K$5:$K$24,MATCH(5,Intents!$P$5:$P$24,0)),"")</f>
        <v/>
      </c>
    </row>
    <row r="22" customFormat="false" ht="15" hidden="false" customHeight="false" outlineLevel="0" collapsed="false">
      <c r="A22" s="4" t="s">
        <v>407</v>
      </c>
      <c r="B22" s="4" t="s">
        <v>285</v>
      </c>
      <c r="C22" s="4" t="s">
        <v>292</v>
      </c>
      <c r="D22" s="4" t="s">
        <v>408</v>
      </c>
    </row>
    <row r="23" customFormat="false" ht="15" hidden="false" customHeight="false" outlineLevel="0" collapsed="false">
      <c r="A23" s="29" t="str">
        <f aca="false">IFERROR(INDEX(Intents!$B$5:$B$24,MATCH(1,Intents!$Q$5:$Q$24,0)),"")</f>
        <v>Tariff information</v>
      </c>
      <c r="B23" s="27" t="n">
        <f aca="false">IFERROR(INDEX(Intents!$C$5:$C$24,MATCH(1,Intents!$Q$5:$Q$24,0)),"")</f>
        <v>0.04</v>
      </c>
      <c r="C23" s="29" t="str">
        <f aca="false">IFERROR(INDEX(Intents!$K$5:$K$24,MATCH(1,Intents!$Q$5:$Q$24,0)),"")</f>
        <v>Knowledge</v>
      </c>
      <c r="D23" s="20" t="n">
        <f aca="false">IFERROR(INDEX(Intents!$L$5:$L$24,MATCH(1,Intents!$Q$5:$Q$24,0)),"")</f>
        <v>2</v>
      </c>
    </row>
    <row r="24" customFormat="false" ht="15" hidden="false" customHeight="false" outlineLevel="0" collapsed="false">
      <c r="A24" s="29" t="str">
        <f aca="false">IFERROR(INDEX(Intents!$B$5:$B$24,MATCH(2,Intents!$Q$5:$Q$24,0)),"")</f>
        <v/>
      </c>
      <c r="B24" s="27" t="str">
        <f aca="false">IFERROR(INDEX(Intents!$C$5:$C$24,MATCH(2,Intents!$Q$5:$Q$24,0)),"")</f>
        <v/>
      </c>
      <c r="C24" s="29" t="str">
        <f aca="false">IFERROR(INDEX(Intents!$K$5:$K$24,MATCH(2,Intents!$Q$5:$Q$24,0)),"")</f>
        <v/>
      </c>
      <c r="D24" s="20" t="str">
        <f aca="false">IFERROR(INDEX(Intents!$L$5:$L$24,MATCH(2,Intents!$Q$5:$Q$24,0)),"")</f>
        <v/>
      </c>
    </row>
    <row r="25" customFormat="false" ht="15" hidden="false" customHeight="false" outlineLevel="0" collapsed="false">
      <c r="A25" s="29" t="str">
        <f aca="false">IFERROR(INDEX(Intents!$B$5:$B$24,MATCH(3,Intents!$Q$5:$Q$24,0)),"")</f>
        <v/>
      </c>
      <c r="B25" s="27" t="str">
        <f aca="false">IFERROR(INDEX(Intents!$C$5:$C$24,MATCH(3,Intents!$Q$5:$Q$24,0)),"")</f>
        <v/>
      </c>
      <c r="C25" s="29" t="str">
        <f aca="false">IFERROR(INDEX(Intents!$K$5:$K$24,MATCH(3,Intents!$Q$5:$Q$24,0)),"")</f>
        <v/>
      </c>
      <c r="D25" s="20" t="str">
        <f aca="false">IFERROR(INDEX(Intents!$L$5:$L$24,MATCH(3,Intents!$Q$5:$Q$24,0)),"")</f>
        <v/>
      </c>
    </row>
    <row r="26" customFormat="false" ht="15" hidden="false" customHeight="false" outlineLevel="0" collapsed="false">
      <c r="A26" s="29" t="str">
        <f aca="false">IFERROR(INDEX(Intents!$B$5:$B$24,MATCH(4,Intents!$Q$5:$Q$24,0)),"")</f>
        <v/>
      </c>
      <c r="B26" s="27" t="str">
        <f aca="false">IFERROR(INDEX(Intents!$C$5:$C$24,MATCH(4,Intents!$Q$5:$Q$24,0)),"")</f>
        <v/>
      </c>
      <c r="C26" s="29" t="str">
        <f aca="false">IFERROR(INDEX(Intents!$K$5:$K$24,MATCH(4,Intents!$Q$5:$Q$24,0)),"")</f>
        <v/>
      </c>
      <c r="D26" s="20" t="str">
        <f aca="false">IFERROR(INDEX(Intents!$L$5:$L$24,MATCH(4,Intents!$Q$5:$Q$24,0)),"")</f>
        <v/>
      </c>
    </row>
    <row r="27" customFormat="false" ht="15" hidden="false" customHeight="false" outlineLevel="0" collapsed="false">
      <c r="A27" s="29" t="str">
        <f aca="false">IFERROR(INDEX(Intents!$B$5:$B$24,MATCH(5,Intents!$Q$5:$Q$24,0)),"")</f>
        <v/>
      </c>
      <c r="B27" s="27" t="str">
        <f aca="false">IFERROR(INDEX(Intents!$C$5:$C$24,MATCH(5,Intents!$Q$5:$Q$24,0)),"")</f>
        <v/>
      </c>
      <c r="C27" s="29" t="str">
        <f aca="false">IFERROR(INDEX(Intents!$K$5:$K$24,MATCH(5,Intents!$Q$5:$Q$24,0)),"")</f>
        <v/>
      </c>
      <c r="D27" s="20" t="str">
        <f aca="false">IFERROR(INDEX(Intents!$L$5:$L$24,MATCH(5,Intents!$Q$5:$Q$24,0)),"")</f>
        <v/>
      </c>
    </row>
    <row r="29" customFormat="false" ht="15" hidden="false" customHeight="false" outlineLevel="0" collapsed="false">
      <c r="A29" s="4" t="s">
        <v>409</v>
      </c>
      <c r="B29" s="4" t="s">
        <v>410</v>
      </c>
      <c r="C29" s="4" t="s">
        <v>258</v>
      </c>
    </row>
    <row r="30" customFormat="false" ht="15" hidden="false" customHeight="false" outlineLevel="0" collapsed="false">
      <c r="A30" s="29" t="str">
        <f aca="false">IF(Readiness!$B$5&lt;3,Readiness!$A$5,"")</f>
        <v/>
      </c>
      <c r="B30" s="20" t="str">
        <f aca="false">IF(Readiness!$B$5&lt;3,Readiness!$B$5,"")</f>
        <v/>
      </c>
      <c r="C30" s="29" t="str">
        <f aca="false">IF(Readiness!$B$5&lt;3,Readiness!$D$5,"")</f>
        <v/>
      </c>
    </row>
    <row r="31" customFormat="false" ht="15" hidden="false" customHeight="false" outlineLevel="0" collapsed="false">
      <c r="A31" s="29" t="str">
        <f aca="false">IF(Readiness!$B$6&lt;3,Readiness!$A$6,"")</f>
        <v>Knowledge</v>
      </c>
      <c r="B31" s="20" t="n">
        <f aca="false">IF(Readiness!$B$6&lt;3,Readiness!$B$6,"")</f>
        <v>2</v>
      </c>
      <c r="C31" s="29" t="str">
        <f aca="false">IF(Readiness!$B$6&lt;3,Readiness!$D$6,"")</f>
        <v>Exists, partly maintained</v>
      </c>
    </row>
    <row r="32" customFormat="false" ht="15" hidden="false" customHeight="false" outlineLevel="0" collapsed="false">
      <c r="A32" s="29" t="str">
        <f aca="false">IF(Readiness!$B$7&lt;3,Readiness!$A$7,"")</f>
        <v/>
      </c>
      <c r="B32" s="20" t="str">
        <f aca="false">IF(Readiness!$B$7&lt;3,Readiness!$B$7,"")</f>
        <v/>
      </c>
      <c r="C32" s="29" t="str">
        <f aca="false">IF(Readiness!$B$7&lt;3,Readiness!$D$7,"")</f>
        <v/>
      </c>
    </row>
    <row r="33" customFormat="false" ht="15" hidden="false" customHeight="false" outlineLevel="0" collapsed="false">
      <c r="A33" s="29" t="str">
        <f aca="false">IF(Readiness!$B$8&lt;3,Readiness!$A$8,"")</f>
        <v/>
      </c>
      <c r="B33" s="20" t="str">
        <f aca="false">IF(Readiness!$B$8&lt;3,Readiness!$B$8,"")</f>
        <v/>
      </c>
      <c r="C33" s="29" t="str">
        <f aca="false">IF(Readiness!$B$8&lt;3,Readiness!$D$8,"")</f>
        <v/>
      </c>
    </row>
    <row r="34" customFormat="false" ht="15" hidden="false" customHeight="false" outlineLevel="0" collapsed="false">
      <c r="A34" s="29" t="str">
        <f aca="false">IF(Readiness!$B$9&lt;3,Readiness!$A$9,"")</f>
        <v/>
      </c>
      <c r="B34" s="20" t="str">
        <f aca="false">IF(Readiness!$B$9&lt;3,Readiness!$B$9,"")</f>
        <v/>
      </c>
      <c r="C34" s="29" t="str">
        <f aca="false">IF(Readiness!$B$9&lt;3,Readiness!$D$9,"")</f>
        <v/>
      </c>
    </row>
    <row r="36" customFormat="false" ht="15" hidden="false" customHeight="false" outlineLevel="0" collapsed="false">
      <c r="A36" s="4" t="s">
        <v>411</v>
      </c>
      <c r="B36" s="4" t="s">
        <v>385</v>
      </c>
      <c r="C36" s="4" t="s">
        <v>386</v>
      </c>
      <c r="D36" s="4" t="s">
        <v>412</v>
      </c>
    </row>
    <row r="37" customFormat="false" ht="15" hidden="false" customHeight="false" outlineLevel="0" collapsed="false">
      <c r="A37" s="29" t="str">
        <f aca="false">IFERROR(INDEX(Matrix!$A$5:$A$14,MATCH(1,Matrix!$T$5:$T$14,0)),"")</f>
        <v>Example platform B (illustrative)</v>
      </c>
      <c r="B37" s="27" t="n">
        <f aca="false">IFERROR(INDEX(Matrix!$Q$5:$Q$14,MATCH(1,Matrix!$T$5:$T$14,0)),"")</f>
        <v>0.901234567901235</v>
      </c>
      <c r="C37" s="20" t="n">
        <f aca="false">IFERROR(INDEX(Matrix!$R$5:$R$14,MATCH(1,Matrix!$T$5:$T$14,0)),"")</f>
        <v>3</v>
      </c>
      <c r="D37" s="29" t="str">
        <f aca="false">IFERROR(INDEX(Matrix!$B$5:$B$14,MATCH(1,Matrix!$T$5:$T$14,0)),"")</f>
        <v>£150k to £400k</v>
      </c>
    </row>
    <row r="38" customFormat="false" ht="15" hidden="false" customHeight="false" outlineLevel="0" collapsed="false">
      <c r="A38" s="29" t="str">
        <f aca="false">IFERROR(INDEX(Matrix!$A$5:$A$14,MATCH(2,Matrix!$T$5:$T$14,0)),"")</f>
        <v>Example platform A (illustrative)</v>
      </c>
      <c r="B38" s="27" t="n">
        <f aca="false">IFERROR(INDEX(Matrix!$Q$5:$Q$14,MATCH(2,Matrix!$T$5:$T$14,0)),"")</f>
        <v>0.753086419753086</v>
      </c>
      <c r="C38" s="20" t="n">
        <f aca="false">IFERROR(INDEX(Matrix!$R$5:$R$14,MATCH(2,Matrix!$T$5:$T$14,0)),"")</f>
        <v>1</v>
      </c>
      <c r="D38" s="29" t="str">
        <f aca="false">IFERROR(INDEX(Matrix!$B$5:$B$14,MATCH(2,Matrix!$T$5:$T$14,0)),"")</f>
        <v>£50k to £150k</v>
      </c>
    </row>
    <row r="39" customFormat="false" ht="15" hidden="false" customHeight="false" outlineLevel="0" collapsed="false">
      <c r="A39" s="29" t="str">
        <f aca="false">IFERROR(INDEX(Matrix!$A$5:$A$14,MATCH(3,Matrix!$T$5:$T$14,0)),"")</f>
        <v>Example platform C (illustrative)</v>
      </c>
      <c r="B39" s="27" t="n">
        <f aca="false">IFERROR(INDEX(Matrix!$Q$5:$Q$14,MATCH(3,Matrix!$T$5:$T$14,0)),"")</f>
        <v>0.567901234567901</v>
      </c>
      <c r="C39" s="20" t="n">
        <f aca="false">IFERROR(INDEX(Matrix!$R$5:$R$14,MATCH(3,Matrix!$T$5:$T$14,0)),"")</f>
        <v>1</v>
      </c>
      <c r="D39" s="29" t="str">
        <f aca="false">IFERROR(INDEX(Matrix!$B$5:$B$14,MATCH(3,Matrix!$T$5:$T$14,0)),"")</f>
        <v>Under £50k</v>
      </c>
    </row>
    <row r="40" customFormat="false" ht="15" hidden="false" customHeight="false" outlineLevel="0" collapsed="false">
      <c r="A40" s="29" t="str">
        <f aca="false">IFERROR(INDEX(Matrix!$A$5:$A$14,MATCH(4,Matrix!$T$5:$T$14,0)),"")</f>
        <v/>
      </c>
      <c r="B40" s="27" t="str">
        <f aca="false">IFERROR(INDEX(Matrix!$Q$5:$Q$14,MATCH(4,Matrix!$T$5:$T$14,0)),"")</f>
        <v/>
      </c>
      <c r="C40" s="20" t="str">
        <f aca="false">IFERROR(INDEX(Matrix!$R$5:$R$14,MATCH(4,Matrix!$T$5:$T$14,0)),"")</f>
        <v/>
      </c>
      <c r="D40" s="29" t="str">
        <f aca="false">IFERROR(INDEX(Matrix!$B$5:$B$14,MATCH(4,Matrix!$T$5:$T$14,0)),"")</f>
        <v/>
      </c>
    </row>
    <row r="41" customFormat="false" ht="15" hidden="false" customHeight="false" outlineLevel="0" collapsed="false">
      <c r="A41" s="29" t="str">
        <f aca="false">IFERROR(INDEX(Matrix!$A$5:$A$14,MATCH(5,Matrix!$T$5:$T$14,0)),"")</f>
        <v/>
      </c>
      <c r="B41" s="27" t="str">
        <f aca="false">IFERROR(INDEX(Matrix!$Q$5:$Q$14,MATCH(5,Matrix!$T$5:$T$14,0)),"")</f>
        <v/>
      </c>
      <c r="C41" s="20" t="str">
        <f aca="false">IFERROR(INDEX(Matrix!$R$5:$R$14,MATCH(5,Matrix!$T$5:$T$14,0)),"")</f>
        <v/>
      </c>
      <c r="D41" s="29" t="str">
        <f aca="false">IFERROR(INDEX(Matrix!$B$5:$B$14,MATCH(5,Matrix!$T$5:$T$14,0)),"")</f>
        <v/>
      </c>
    </row>
    <row r="42" customFormat="false" ht="15" hidden="false" customHeight="false" outlineLevel="0" collapsed="false">
      <c r="A42" s="29" t="str">
        <f aca="false">IFERROR(INDEX(Matrix!$A$5:$A$14,MATCH(6,Matrix!$T$5:$T$14,0)),"")</f>
        <v/>
      </c>
      <c r="B42" s="27" t="str">
        <f aca="false">IFERROR(INDEX(Matrix!$Q$5:$Q$14,MATCH(6,Matrix!$T$5:$T$14,0)),"")</f>
        <v/>
      </c>
      <c r="C42" s="20" t="str">
        <f aca="false">IFERROR(INDEX(Matrix!$R$5:$R$14,MATCH(6,Matrix!$T$5:$T$14,0)),"")</f>
        <v/>
      </c>
      <c r="D42" s="29" t="str">
        <f aca="false">IFERROR(INDEX(Matrix!$B$5:$B$14,MATCH(6,Matrix!$T$5:$T$14,0)),"")</f>
        <v/>
      </c>
    </row>
    <row r="43" customFormat="false" ht="15" hidden="false" customHeight="false" outlineLevel="0" collapsed="false">
      <c r="A43" s="29" t="str">
        <f aca="false">IFERROR(INDEX(Matrix!$A$5:$A$14,MATCH(7,Matrix!$T$5:$T$14,0)),"")</f>
        <v/>
      </c>
      <c r="B43" s="27" t="str">
        <f aca="false">IFERROR(INDEX(Matrix!$Q$5:$Q$14,MATCH(7,Matrix!$T$5:$T$14,0)),"")</f>
        <v/>
      </c>
      <c r="C43" s="20" t="str">
        <f aca="false">IFERROR(INDEX(Matrix!$R$5:$R$14,MATCH(7,Matrix!$T$5:$T$14,0)),"")</f>
        <v/>
      </c>
      <c r="D43" s="29" t="str">
        <f aca="false">IFERROR(INDEX(Matrix!$B$5:$B$14,MATCH(7,Matrix!$T$5:$T$14,0)),"")</f>
        <v/>
      </c>
    </row>
    <row r="44" customFormat="false" ht="15" hidden="false" customHeight="false" outlineLevel="0" collapsed="false">
      <c r="A44" s="29" t="str">
        <f aca="false">IFERROR(INDEX(Matrix!$A$5:$A$14,MATCH(8,Matrix!$T$5:$T$14,0)),"")</f>
        <v/>
      </c>
      <c r="B44" s="27" t="str">
        <f aca="false">IFERROR(INDEX(Matrix!$Q$5:$Q$14,MATCH(8,Matrix!$T$5:$T$14,0)),"")</f>
        <v/>
      </c>
      <c r="C44" s="20" t="str">
        <f aca="false">IFERROR(INDEX(Matrix!$R$5:$R$14,MATCH(8,Matrix!$T$5:$T$14,0)),"")</f>
        <v/>
      </c>
      <c r="D44" s="29" t="str">
        <f aca="false">IFERROR(INDEX(Matrix!$B$5:$B$14,MATCH(8,Matrix!$T$5:$T$14,0)),"")</f>
        <v/>
      </c>
    </row>
    <row r="45" customFormat="false" ht="15" hidden="false" customHeight="false" outlineLevel="0" collapsed="false">
      <c r="A45" s="29" t="str">
        <f aca="false">IFERROR(INDEX(Matrix!$A$5:$A$14,MATCH(9,Matrix!$T$5:$T$14,0)),"")</f>
        <v/>
      </c>
      <c r="B45" s="27" t="str">
        <f aca="false">IFERROR(INDEX(Matrix!$Q$5:$Q$14,MATCH(9,Matrix!$T$5:$T$14,0)),"")</f>
        <v/>
      </c>
      <c r="C45" s="20" t="str">
        <f aca="false">IFERROR(INDEX(Matrix!$R$5:$R$14,MATCH(9,Matrix!$T$5:$T$14,0)),"")</f>
        <v/>
      </c>
      <c r="D45" s="29" t="str">
        <f aca="false">IFERROR(INDEX(Matrix!$B$5:$B$14,MATCH(9,Matrix!$T$5:$T$14,0)),"")</f>
        <v/>
      </c>
    </row>
    <row r="46" customFormat="false" ht="15" hidden="false" customHeight="false" outlineLevel="0" collapsed="false">
      <c r="A46" s="29" t="str">
        <f aca="false">IFERROR(INDEX(Matrix!$A$5:$A$14,MATCH(10,Matrix!$T$5:$T$14,0)),"")</f>
        <v/>
      </c>
      <c r="B46" s="27" t="str">
        <f aca="false">IFERROR(INDEX(Matrix!$Q$5:$Q$14,MATCH(10,Matrix!$T$5:$T$14,0)),"")</f>
        <v/>
      </c>
      <c r="C46" s="20" t="str">
        <f aca="false">IFERROR(INDEX(Matrix!$R$5:$R$14,MATCH(10,Matrix!$T$5:$T$14,0)),"")</f>
        <v/>
      </c>
      <c r="D46" s="29" t="str">
        <f aca="false">IFERROR(INDEX(Matrix!$B$5:$B$14,MATCH(10,Matrix!$T$5:$T$14,0)),"")</f>
        <v/>
      </c>
    </row>
    <row r="48" customFormat="false" ht="15" hidden="false" customHeight="false" outlineLevel="0" collapsed="false">
      <c r="A48" s="11" t="s">
        <v>413</v>
      </c>
      <c r="B48" s="20" t="n">
        <f aca="false">COUNTIF(Matrix!$P$5:$P$14,"&lt;13")</f>
        <v>7</v>
      </c>
    </row>
    <row r="49" customFormat="false" ht="15" hidden="false" customHeight="false" outlineLevel="0" collapsed="false">
      <c r="A49" s="11" t="s">
        <v>414</v>
      </c>
      <c r="B49" s="20" t="n">
        <f aca="false">COUNTIF(Matrix!$S$5:$S$14,"Over budget")</f>
        <v>0</v>
      </c>
    </row>
  </sheetData>
  <mergeCells count="1"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2026-10-05T13:21:09Z</dcterms:created>
  <dc:creator>openpyxl</dc:creator>
  <dc:description/>
  <dc:language>en-US</dc:language>
  <cp:lastModifiedBy/>
  <dcterms:modified xsi:type="dcterms:W3CDTF">2026-10-05T13:21:09Z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